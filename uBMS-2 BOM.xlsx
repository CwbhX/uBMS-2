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ement Hathaway\Github\uBMS-2\"/>
    </mc:Choice>
  </mc:AlternateContent>
  <xr:revisionPtr revIDLastSave="0" documentId="13_ncr:40009_{E3B256E5-910F-4C90-9203-2104D0D36B14}" xr6:coauthVersionLast="45" xr6:coauthVersionMax="45" xr10:uidLastSave="{00000000-0000-0000-0000-000000000000}"/>
  <bookViews>
    <workbookView xWindow="-110" yWindow="-110" windowWidth="38620" windowHeight="21220" activeTab="1"/>
  </bookViews>
  <sheets>
    <sheet name="uBMS-2 BOM" sheetId="1" r:id="rId1"/>
    <sheet name="Collated with Prices" sheetId="2" r:id="rId2"/>
  </sheets>
  <calcPr calcId="0"/>
</workbook>
</file>

<file path=xl/calcChain.xml><?xml version="1.0" encoding="utf-8"?>
<calcChain xmlns="http://schemas.openxmlformats.org/spreadsheetml/2006/main">
  <c r="K66" i="2" l="1"/>
  <c r="J66" i="2"/>
  <c r="I66" i="2"/>
  <c r="Q61" i="2"/>
  <c r="P61" i="2"/>
  <c r="O61" i="2"/>
  <c r="H66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2" i="2"/>
  <c r="G67" i="2"/>
  <c r="G68" i="2"/>
  <c r="G69" i="2"/>
  <c r="G70" i="2"/>
  <c r="G66" i="2"/>
  <c r="F67" i="2"/>
  <c r="F68" i="2"/>
  <c r="F69" i="2"/>
  <c r="F70" i="2"/>
  <c r="F66" i="2"/>
  <c r="E67" i="2"/>
  <c r="E68" i="2"/>
  <c r="E69" i="2"/>
  <c r="E70" i="2"/>
  <c r="E66" i="2"/>
  <c r="C67" i="2"/>
  <c r="C68" i="2"/>
  <c r="C69" i="2"/>
  <c r="C70" i="2"/>
  <c r="C66" i="2"/>
</calcChain>
</file>

<file path=xl/sharedStrings.xml><?xml version="1.0" encoding="utf-8"?>
<sst xmlns="http://schemas.openxmlformats.org/spreadsheetml/2006/main" count="1764" uniqueCount="498">
  <si>
    <t>Source:</t>
  </si>
  <si>
    <t>C:\Users\Clement Hathaway\Github\uBMS-2\uBMS-2.sch</t>
  </si>
  <si>
    <t>Date:</t>
  </si>
  <si>
    <t>Tool:</t>
  </si>
  <si>
    <t>Eeschema (5.1.4)-1</t>
  </si>
  <si>
    <t>Generator:</t>
  </si>
  <si>
    <t>C:\Program Files\KiCad\bin\scripting\plugins/bom_csv_grouped_by_value.py</t>
  </si>
  <si>
    <t>Component Count:</t>
  </si>
  <si>
    <t>Individual Components:</t>
  </si>
  <si>
    <t>Item</t>
  </si>
  <si>
    <t>Qty</t>
  </si>
  <si>
    <t>Reference(s)</t>
  </si>
  <si>
    <t>Value</t>
  </si>
  <si>
    <t>LibPart</t>
  </si>
  <si>
    <t>Footprint</t>
  </si>
  <si>
    <t>Datasheet</t>
  </si>
  <si>
    <t>Category</t>
  </si>
  <si>
    <t>DK_Datasheet_Link</t>
  </si>
  <si>
    <t>DK_Detail_Page</t>
  </si>
  <si>
    <t>Description</t>
  </si>
  <si>
    <t>Digi-Key_PN</t>
  </si>
  <si>
    <t>Family</t>
  </si>
  <si>
    <t>MPN</t>
  </si>
  <si>
    <t>Manufacturer</t>
  </si>
  <si>
    <t>Manufacturer Part</t>
  </si>
  <si>
    <t>Status</t>
  </si>
  <si>
    <t>Vendor</t>
  </si>
  <si>
    <t>Vendor Part</t>
  </si>
  <si>
    <t>BTN1</t>
  </si>
  <si>
    <t>Reset</t>
  </si>
  <si>
    <t>Lafayette_Electric_Car_Internals:PushButton</t>
  </si>
  <si>
    <t>Button_Switch_SMD:PTS636_SM43_SMTR_LFS_6mm_3,5mm</t>
  </si>
  <si>
    <t>https://media.digikey.com/pdf/Data%20Sheets/RAFI%20PDF's/Racon_PCB_Tactile_Switches_Cat.pdf</t>
  </si>
  <si>
    <t>RAFI USA</t>
  </si>
  <si>
    <t>1.14100.5030000</t>
  </si>
  <si>
    <t>Digikey</t>
  </si>
  <si>
    <t>1715-1676-1-ND</t>
  </si>
  <si>
    <t>BTN2</t>
  </si>
  <si>
    <t>Program</t>
  </si>
  <si>
    <t>BTN3</t>
  </si>
  <si>
    <t>Input_1</t>
  </si>
  <si>
    <t>BTN4</t>
  </si>
  <si>
    <t>Input_2</t>
  </si>
  <si>
    <t>C1</t>
  </si>
  <si>
    <t>0.1uF</t>
  </si>
  <si>
    <t>Device:C_Small</t>
  </si>
  <si>
    <t>Capacitor_SMD:C_1206_3216Metric</t>
  </si>
  <si>
    <t>~</t>
  </si>
  <si>
    <t>C2</t>
  </si>
  <si>
    <t>10uF</t>
  </si>
  <si>
    <t>C3</t>
  </si>
  <si>
    <t>C4</t>
  </si>
  <si>
    <t>C5</t>
  </si>
  <si>
    <t>2.2uF</t>
  </si>
  <si>
    <t>C6</t>
  </si>
  <si>
    <t>1uF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</si>
  <si>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</si>
  <si>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</si>
  <si>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</si>
  <si>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</si>
  <si>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</si>
  <si>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</si>
  <si>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</si>
  <si>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</si>
  <si>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</si>
  <si>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10nF</t>
  </si>
  <si>
    <t>Device:C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</si>
  <si>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</si>
  <si>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</si>
  <si>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</si>
  <si>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</si>
  <si>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</si>
  <si>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</si>
  <si>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</si>
  <si>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</si>
  <si>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</si>
  <si>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</si>
  <si>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</si>
  <si>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CIN1</t>
  </si>
  <si>
    <t>100uF 60V</t>
  </si>
  <si>
    <t>Capacitor_SMD:CP_Elec_10x10</t>
  </si>
  <si>
    <t>COUT1</t>
  </si>
  <si>
    <t>1000uF</t>
  </si>
  <si>
    <t>D1</t>
  </si>
  <si>
    <t>D</t>
  </si>
  <si>
    <t>Device:D</t>
  </si>
  <si>
    <t>Diode_SMD:D_0603_1608Metric_Pad1.05x0.95mm_HandSolder</t>
  </si>
  <si>
    <t>D2</t>
  </si>
  <si>
    <t>D3</t>
  </si>
  <si>
    <t>D4</t>
  </si>
  <si>
    <t>CLX6F-FKC</t>
  </si>
  <si>
    <t>uBMS-Parts:CLX6F-FKC</t>
  </si>
  <si>
    <t>LED_SMD:LED_RGB_PLCC-6</t>
  </si>
  <si>
    <t>ttps://www.cree.com/led-components/media/documents/ds-CLX6F-FKC-1352.pdf</t>
  </si>
  <si>
    <t>D5</t>
  </si>
  <si>
    <t>LED</t>
  </si>
  <si>
    <t>Device:LED</t>
  </si>
  <si>
    <t>LED_SMD:LED_1206_3216Metric_Pad1.42x1.75mm_HandSolder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</si>
  <si>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</si>
  <si>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</si>
  <si>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</si>
  <si>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</si>
  <si>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</si>
  <si>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</si>
  <si>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</si>
  <si>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</si>
  <si>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</si>
  <si>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</si>
  <si>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</si>
  <si>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</si>
  <si>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</si>
  <si>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</si>
  <si>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</si>
  <si>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F1</t>
  </si>
  <si>
    <t>1A PTC</t>
  </si>
  <si>
    <t>Device:Fuse</t>
  </si>
  <si>
    <t>Fuse:Fuse_2920_7451Metric_Pad2.10x5.45mm_HandSolder</t>
  </si>
  <si>
    <t>H1</t>
  </si>
  <si>
    <t>MountingHole</t>
  </si>
  <si>
    <t>Mechanical:MountingHole</t>
  </si>
  <si>
    <t>MountingHole:MountingHole_2mm</t>
  </si>
  <si>
    <t>H2</t>
  </si>
  <si>
    <t>H3</t>
  </si>
  <si>
    <t>H4</t>
  </si>
  <si>
    <t>J1</t>
  </si>
  <si>
    <t>Conn_02x03_Counter_Clockwise</t>
  </si>
  <si>
    <t>Connector_Generic:Conn_02x03_Counter_Clockwise</t>
  </si>
  <si>
    <t>Connector_PinHeader_2.54mm:PinHeader_2x03_P2.54mm_Vertical_SMD</t>
  </si>
  <si>
    <t>J2</t>
  </si>
  <si>
    <t>Conn_01x02</t>
  </si>
  <si>
    <t>Connector_Generic:Conn_01x02</t>
  </si>
  <si>
    <t>uBMS-2:1720430202</t>
  </si>
  <si>
    <t>J3</t>
  </si>
  <si>
    <t>Conn_01x01</t>
  </si>
  <si>
    <t>Connector_Generic:Conn_01x01</t>
  </si>
  <si>
    <t>MountingHole:MountingHole_3mm_Pad_Via</t>
  </si>
  <si>
    <t>J4</t>
  </si>
  <si>
    <t>TestPoint:TestPoint_Pad_D1.5mm</t>
  </si>
  <si>
    <t>J5</t>
  </si>
  <si>
    <t>Conn_02x07_Odd_Even</t>
  </si>
  <si>
    <t>Connector_Generic:Conn_02x07_Odd_Even</t>
  </si>
  <si>
    <t>uBMS-2:Molex_Milli_Grid_0878325623_TopBottom</t>
  </si>
  <si>
    <t>J6</t>
  </si>
  <si>
    <t>J7</t>
  </si>
  <si>
    <t>J8</t>
  </si>
  <si>
    <t>L1</t>
  </si>
  <si>
    <t>100uH</t>
  </si>
  <si>
    <t>Device:L</t>
  </si>
  <si>
    <t>Inductor_SMD:L_12x12mm_H8mm</t>
  </si>
  <si>
    <t>Q1</t>
  </si>
  <si>
    <t>2N7002</t>
  </si>
  <si>
    <t>Transistor_FET:2N7002</t>
  </si>
  <si>
    <t>Package_TO_SOT_SMD:SOT-23</t>
  </si>
  <si>
    <t>https://www.fairchildsemi.com/datasheets/2N/2N7002.pdf</t>
  </si>
  <si>
    <t>Q2</t>
  </si>
  <si>
    <t>Q3</t>
  </si>
  <si>
    <t>NTD5865NL</t>
  </si>
  <si>
    <t>uBMS-Parts:NTD5865NL</t>
  </si>
  <si>
    <t>Package_TO_SOT_SMD:TO-252-2</t>
  </si>
  <si>
    <t>https://www.onsemi.com/pub/Collateral/NTD5865NL-D.PDF</t>
  </si>
  <si>
    <t>Q4</t>
  </si>
  <si>
    <t>FQD5N20L</t>
  </si>
  <si>
    <t>uBMS-Parts:FQD5N20L</t>
  </si>
  <si>
    <t>https://www.mouser.com/datasheet/2/149/FQD5N20L-266424.pdf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</si>
  <si>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</si>
  <si>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</si>
  <si>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</si>
  <si>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</si>
  <si>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</si>
  <si>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</si>
  <si>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</si>
  <si>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</si>
  <si>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</si>
  <si>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</si>
  <si>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</si>
  <si>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R1</t>
  </si>
  <si>
    <t>2.2k</t>
  </si>
  <si>
    <t>Device:R</t>
  </si>
  <si>
    <t>Resistor_SMD:R_0603_1608Metric_Pad1.05x0.95mm_HandSolder</t>
  </si>
  <si>
    <t>R2</t>
  </si>
  <si>
    <t>R3</t>
  </si>
  <si>
    <t>10k</t>
  </si>
  <si>
    <t>R4</t>
  </si>
  <si>
    <t>R5</t>
  </si>
  <si>
    <t>R6</t>
  </si>
  <si>
    <t>R7</t>
  </si>
  <si>
    <t>1m Ohm</t>
  </si>
  <si>
    <t>Resistor_SMD:R_2512_CSNL2512</t>
  </si>
  <si>
    <t>R8</t>
  </si>
  <si>
    <t>470R</t>
  </si>
  <si>
    <t>R9</t>
  </si>
  <si>
    <t>4.7k</t>
  </si>
  <si>
    <t>Device:R_Small</t>
  </si>
  <si>
    <t>R10</t>
  </si>
  <si>
    <t>330R</t>
  </si>
  <si>
    <t>R11</t>
  </si>
  <si>
    <t>270R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</si>
  <si>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</si>
  <si>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</si>
  <si>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</si>
  <si>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</si>
  <si>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</si>
  <si>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</si>
  <si>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</si>
  <si>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</si>
  <si>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</si>
  <si>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</si>
  <si>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</si>
  <si>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</si>
  <si>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</si>
  <si>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</si>
  <si>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</si>
  <si>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</si>
  <si>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</si>
  <si>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</si>
  <si>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</si>
  <si>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</si>
  <si>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360k</t>
  </si>
  <si>
    <t>R32</t>
  </si>
  <si>
    <t>200k</t>
  </si>
  <si>
    <t>R33</t>
  </si>
  <si>
    <t>330k</t>
  </si>
  <si>
    <t>R34</t>
  </si>
  <si>
    <t>500k</t>
  </si>
  <si>
    <t>R35</t>
  </si>
  <si>
    <t>R36</t>
  </si>
  <si>
    <t>560k</t>
  </si>
  <si>
    <t>R37</t>
  </si>
  <si>
    <t>R38</t>
  </si>
  <si>
    <t>100k</t>
  </si>
  <si>
    <t>R39</t>
  </si>
  <si>
    <t>R40</t>
  </si>
  <si>
    <t>R41</t>
  </si>
  <si>
    <t>R42</t>
  </si>
  <si>
    <t>47k</t>
  </si>
  <si>
    <t>R43</t>
  </si>
  <si>
    <t>25k</t>
  </si>
  <si>
    <t>R44</t>
  </si>
  <si>
    <t>R45</t>
  </si>
  <si>
    <t>R46</t>
  </si>
  <si>
    <t>R47</t>
  </si>
  <si>
    <t>R48</t>
  </si>
  <si>
    <t>R49</t>
  </si>
  <si>
    <t>R50</t>
  </si>
  <si>
    <t>147k</t>
  </si>
  <si>
    <t>R51</t>
  </si>
  <si>
    <t>39.2k</t>
  </si>
  <si>
    <t>R52</t>
  </si>
  <si>
    <t>30k</t>
  </si>
  <si>
    <t>R53</t>
  </si>
  <si>
    <t>R54</t>
  </si>
  <si>
    <t>R55</t>
  </si>
  <si>
    <t>R56</t>
  </si>
  <si>
    <t>33.2k</t>
  </si>
  <si>
    <t>R57</t>
  </si>
  <si>
    <t>R58</t>
  </si>
  <si>
    <t>16.2k</t>
  </si>
  <si>
    <t>R59</t>
  </si>
  <si>
    <t>47.5k</t>
  </si>
  <si>
    <t>R60</t>
  </si>
  <si>
    <t>22k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</si>
  <si>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</si>
  <si>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</si>
  <si>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</si>
  <si>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</si>
  <si>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</si>
  <si>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</si>
  <si>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</si>
  <si>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</si>
  <si>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</si>
  <si>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</si>
  <si>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</si>
  <si>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</si>
  <si>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</si>
  <si>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</si>
  <si>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</si>
  <si>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</si>
  <si>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</si>
  <si>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</si>
  <si>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</si>
  <si>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</si>
  <si>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</si>
  <si>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</si>
  <si>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</si>
  <si>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</si>
  <si>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</si>
  <si>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</si>
  <si>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</si>
  <si>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TH1</t>
  </si>
  <si>
    <t>Device:Thermistor_NTC</t>
  </si>
  <si>
    <t>Resistor_SMD:R_0201_0603Metric</t>
  </si>
  <si>
    <t>TH2</t>
  </si>
  <si>
    <t>TH3</t>
  </si>
  <si>
    <t>TH4</t>
  </si>
  <si>
    <t>U1</t>
  </si>
  <si>
    <t>LM2576HVS-5</t>
  </si>
  <si>
    <t>Regulator_Switching:LM2576HVS-5</t>
  </si>
  <si>
    <t>Package_TO_SOT_SMD:TO-263-5_TabPin3</t>
  </si>
  <si>
    <t>http://www.ti.com/lit/ds/symlink/lm2576.pdf</t>
  </si>
  <si>
    <t>U2</t>
  </si>
  <si>
    <t>ADS1115IDGS</t>
  </si>
  <si>
    <t>Analog_ADC:ADS1115IDGS</t>
  </si>
  <si>
    <t>Package_SO:TSSOP-10_3x3mm_P0.5mm</t>
  </si>
  <si>
    <t>http://www.ti.com/lit/ds/symlink/ads1113.pdf</t>
  </si>
  <si>
    <t>U3</t>
  </si>
  <si>
    <t>TLV1117-33</t>
  </si>
  <si>
    <t>Regulator_Linear:TLV1117-33</t>
  </si>
  <si>
    <t>Package_TO_SOT_SMD:SOT-223-3_TabPin2</t>
  </si>
  <si>
    <t>http://www.ti.com/lit/ds/symlink/tlv1117.pdf</t>
  </si>
  <si>
    <t>U4</t>
  </si>
  <si>
    <t>TL431DBZ</t>
  </si>
  <si>
    <t>Reference_Voltage:TL431DBZ</t>
  </si>
  <si>
    <t>http://www.ti.com/lit/ds/symlink/tl431.pdf</t>
  </si>
  <si>
    <t>U5</t>
  </si>
  <si>
    <t>ESP32-WROOM-32</t>
  </si>
  <si>
    <t>RF_Module:ESP32-WROOM-32</t>
  </si>
  <si>
    <t>https://www.espressif.com/sites/default/files/documentation/esp32-wroom-32_datasheet_en.pdf</t>
  </si>
  <si>
    <t>U6</t>
  </si>
  <si>
    <t>TSC2012IDT</t>
  </si>
  <si>
    <t>uBMS-Parts:TSC2012IDT</t>
  </si>
  <si>
    <t>Package_SO:SO-8_3.9x4.9mm_P1.27mm</t>
  </si>
  <si>
    <t>https://www.st.com/resource/en/datasheet/tsc2012.pdf</t>
  </si>
  <si>
    <t>U7</t>
  </si>
  <si>
    <t>MCP23017_SS</t>
  </si>
  <si>
    <t>Interface_Expansion:MCP23017_SS</t>
  </si>
  <si>
    <t>Package_SO:SSOP-28_5.3x10.2mm_P0.65mm</t>
  </si>
  <si>
    <t>http://ww1.microchip.com/downloads/en/DeviceDoc/20001952C.pdf</t>
  </si>
  <si>
    <t>U8</t>
  </si>
  <si>
    <t>MCP23008-E_P</t>
  </si>
  <si>
    <t>dk_Interface-I-O-Expanders:MCP23008-E_P</t>
  </si>
  <si>
    <t>Package_SO:SOIC-18W_7.5x11.6mm_P1.27mm</t>
  </si>
  <si>
    <t>http://www.microchip.com/mymicrochip/filehandler.aspx?ddocname=en021920</t>
  </si>
  <si>
    <t>Integrated Circuits (ICs)</t>
  </si>
  <si>
    <t>/product-detail/en/microchip-technology/MCP23008-E-P/MCP23008-E-P-ND/735951</t>
  </si>
  <si>
    <t>IC I/O EXPANDER I2C 8B 18DIP</t>
  </si>
  <si>
    <t>MCP23008-E/P-ND</t>
  </si>
  <si>
    <t>Interface - I/O Expanders</t>
  </si>
  <si>
    <t>MCP23008-E/P</t>
  </si>
  <si>
    <t>Microchip Technology</t>
  </si>
  <si>
    <t>Active</t>
  </si>
  <si>
    <t>U9</t>
  </si>
  <si>
    <t>VDMG10C0</t>
  </si>
  <si>
    <t>uBMS-Parts:VDMG10C0</t>
  </si>
  <si>
    <t>Display_7Segment:VDMG10C0</t>
  </si>
  <si>
    <t>https://www.vishay.com/docs/84196/vdmx10x0.pdf</t>
  </si>
  <si>
    <t>U10</t>
  </si>
  <si>
    <t>CD74HC4067SM</t>
  </si>
  <si>
    <t>74xx:CD74HC4067SM</t>
  </si>
  <si>
    <t>Package_SO:SSOP-24_5.3x8.2mm_P0.65mm</t>
  </si>
  <si>
    <t>http://www.ti.com/lit/ds/symlink/cd74hc4067.pdf</t>
  </si>
  <si>
    <t>U11</t>
  </si>
  <si>
    <t>Collated Components:</t>
  </si>
  <si>
    <t>C1, C3, C4, C8, C9, C10, C11, C12, C13, C14</t>
  </si>
  <si>
    <t>C6, C7</t>
  </si>
  <si>
    <t>C15, C16, C17, C18, C19, C20, C21, C22, C23, C24, C25, C26</t>
  </si>
  <si>
    <t>D1, D2, D3, D9, D10, D11, D12, D13, D14, D15, D16, D17, D18, D19, D20</t>
  </si>
  <si>
    <t>D5, D6, D7, D8</t>
  </si>
  <si>
    <t>H1, H2, H3, H4</t>
  </si>
  <si>
    <t>J3, J8</t>
  </si>
  <si>
    <t>J5, J6, J7</t>
  </si>
  <si>
    <t>Q1, Q2</t>
  </si>
  <si>
    <t>Q4, Q5, Q6, Q7, Q8, Q9, Q10, Q11, Q12, Q13, Q14, Q15</t>
  </si>
  <si>
    <t>R1, R2, R5, R6</t>
  </si>
  <si>
    <t>R3, R4</t>
  </si>
  <si>
    <t>R9, R19, R20, R21, R29, R30</t>
  </si>
  <si>
    <t>R11, R12, R13, R14, R15, R16, R17, R18, R22, R23, R24, R25, R26, R27, R28</t>
  </si>
  <si>
    <t>R31, R37</t>
  </si>
  <si>
    <t>R33, R48</t>
  </si>
  <si>
    <t>R34, R35, R46, R49</t>
  </si>
  <si>
    <t>R36, R45, R47</t>
  </si>
  <si>
    <t>R38, R39, R40, R41, R76, R77, R78, R79, R80, R81, R82, R83, R84, R85, R86, R87</t>
  </si>
  <si>
    <t>R42, R44</t>
  </si>
  <si>
    <t>R51, R55</t>
  </si>
  <si>
    <t>R52, R53, R54</t>
  </si>
  <si>
    <t>R56, R57</t>
  </si>
  <si>
    <t>R60, R61, R62, R63, R64, R65, R66, R67, R68, R69, R70, R71</t>
  </si>
  <si>
    <t>R72, R73, R74, R75</t>
  </si>
  <si>
    <t>TH1, TH2, TH3, TH4</t>
  </si>
  <si>
    <t>U10, U11</t>
  </si>
  <si>
    <t>1 Unit Cost (USD)</t>
  </si>
  <si>
    <t>10 Unit Cost (USD)</t>
  </si>
  <si>
    <t>100 Unit Cost (USD)</t>
  </si>
  <si>
    <t xml:space="preserve">PTS636 SM43 SMTR LFS </t>
  </si>
  <si>
    <t>CKN12310-1-ND</t>
  </si>
  <si>
    <t>Distributer Part Number</t>
  </si>
  <si>
    <t>https://dznh3ojzb2azq.cloudfront.net/products/Tactile/PTS636/documents/datasheet.pdf</t>
  </si>
  <si>
    <t>C&amp;K</t>
  </si>
  <si>
    <t>732-8097-1-ND</t>
  </si>
  <si>
    <t xml:space="preserve">Würth Elektronik </t>
  </si>
  <si>
    <t>https://www.we-online.de/katalog/datasheet/885012208030.pdf</t>
  </si>
  <si>
    <t>CL31B106KQHNFNE</t>
  </si>
  <si>
    <t>885012208030</t>
  </si>
  <si>
    <t>Samsung Electro-Mechanics</t>
  </si>
  <si>
    <t>https://www.samsungsem.com/kr/support/product-search/mlcc/CL31B106KQHNFNE.jsp</t>
  </si>
  <si>
    <t>https://media.digikey.com/pdf/Data%20Sheets/Samsung%20PDFs/CL31B225KOHNNWE_Spec.pdf</t>
  </si>
  <si>
    <t>1276-3141-1-ND</t>
  </si>
  <si>
    <t>1276-3107-1-ND</t>
  </si>
  <si>
    <t>CL31B225KOHNNWE</t>
  </si>
  <si>
    <t>https://www.we-online.de/katalog/datasheet/885012208036.pdf</t>
  </si>
  <si>
    <t>732-7692-1-ND</t>
  </si>
  <si>
    <t>885012208036</t>
  </si>
  <si>
    <t>https://www.we-online.de/katalog/datasheet/885012208112.pdf</t>
  </si>
  <si>
    <t>732-12140-1-ND</t>
  </si>
  <si>
    <t>885012208112</t>
  </si>
  <si>
    <t>https://www.nichicon.co.jp/english/products/pdfs/e-uur.pdf</t>
  </si>
  <si>
    <t>Nichicon</t>
  </si>
  <si>
    <t>493-6232-1-ND</t>
  </si>
  <si>
    <t>UUR1J101MNL1GS</t>
  </si>
  <si>
    <t>https://b2b-api.panasonic.eu/file_stream/pids/fileversion/3102</t>
  </si>
  <si>
    <t>Panasonic Electronic Components</t>
  </si>
  <si>
    <t>P18953CT-ND</t>
  </si>
  <si>
    <t>EEE-FK1C102SP</t>
  </si>
  <si>
    <t>https://www.taiwansemi.com/assets/uploads/datasheet/TS4148C_G1809.pdf</t>
  </si>
  <si>
    <t>Taiwan Semiconductor Corporation</t>
  </si>
  <si>
    <t>TS4148CRZGCT-ND</t>
  </si>
  <si>
    <t>TS4148C RZG</t>
  </si>
  <si>
    <t>https://www.cree.com/led-components/media/documents/ds-CLX6F-FKC-1352.pdf</t>
  </si>
  <si>
    <t>Cree Inc.</t>
  </si>
  <si>
    <t>CLX6F-FKC-CKNNQDGBB7A363CT-ND</t>
  </si>
  <si>
    <t>CLX6F-FKC-CKNNQDGBB7A363</t>
  </si>
  <si>
    <t>https://belfuse.com/resources/datasheets/circuitprotection/ds-cp-0zcf-series.pdf</t>
  </si>
  <si>
    <t>Bel Fuse Inc.</t>
  </si>
  <si>
    <t>507-1741-1-ND</t>
  </si>
  <si>
    <t>0ZCF0050FF2C</t>
  </si>
  <si>
    <t>Amphenol ICC</t>
  </si>
  <si>
    <t>609-5602-ND</t>
  </si>
  <si>
    <t>54202-G08-03</t>
  </si>
  <si>
    <t>http://www.literature.molex.com/SQLImages/kelmscott/Molex/PDF_Images/987650-8131.PDF</t>
  </si>
  <si>
    <t>http://portal.fciconnect.com/Comergent//fci/drawing/54202.pdf</t>
  </si>
  <si>
    <t>Molex</t>
  </si>
  <si>
    <t>WM20738-ND</t>
  </si>
  <si>
    <t>1720430202</t>
  </si>
  <si>
    <t>https://media.digikey.com/pdf/Data%20Sheets/Molex%20PDFs/87832-300_Pkg_Spec.pdf</t>
  </si>
  <si>
    <t>WM6815CT-ND</t>
  </si>
  <si>
    <t>0878325623</t>
  </si>
  <si>
    <t>https://www.chilisin.com/upload/media/product/power/file/BPSC_Series.pdf</t>
  </si>
  <si>
    <t>Chilisin Electronics</t>
  </si>
  <si>
    <t>2184-BPSC00131380101M00CT-ND</t>
  </si>
  <si>
    <t>BPSC00131380101M00</t>
  </si>
  <si>
    <t>https://toshiba.semicon-storage.com/info/docget.jsp?did=29712&amp;prodName=T2N7002AK</t>
  </si>
  <si>
    <t>Toshiba Semiconductor and Storage</t>
  </si>
  <si>
    <t>T2N7002AKLMCT-ND</t>
  </si>
  <si>
    <t>T2N7002AK,LM</t>
  </si>
  <si>
    <t>ON Semiconductor</t>
  </si>
  <si>
    <t>NTD5865NLT4GOSCT-ND</t>
  </si>
  <si>
    <t>NTD5865NLT4G</t>
  </si>
  <si>
    <t>https://www.onsemi.com/pub/Collateral/FQD5N20L-D.pdf</t>
  </si>
  <si>
    <t>FQD5N20LTMCT-ND</t>
  </si>
  <si>
    <t>FQD5N20LTM</t>
  </si>
  <si>
    <t>https://www.seielect.com/catalog/sei-csnl.pdf</t>
  </si>
  <si>
    <t>Stackpole Electronics Inc</t>
  </si>
  <si>
    <t>CSNL2512FT1L00CT-ND</t>
  </si>
  <si>
    <t>CSNL2512FT1L00</t>
  </si>
  <si>
    <t>https://industrial.panasonic.com/cdbs/www-data/pdf/AUA0000/AUA0000C8.pdf</t>
  </si>
  <si>
    <t>P124053CT-ND</t>
  </si>
  <si>
    <t>ERT-JZEG103FA</t>
  </si>
  <si>
    <t>http://www.ti.com/general/docs/suppproductinfo.tsp?distId=10&amp;gotoUrl=http%3A%2F%2Fwww.ti.com%2Flit%2Fgpn%2Flm2576hv</t>
  </si>
  <si>
    <t>Texas Instruments</t>
  </si>
  <si>
    <t>LM2576HVS-5.0/NOPB-ND</t>
  </si>
  <si>
    <t>LM2576HVS-5.0/NOPB</t>
  </si>
  <si>
    <t>http://www.ti.com/general/docs/suppproductinfo.tsp?distId=10&amp;gotoUrl=http%3A%2F%2Fwww.ti.com%2Flit%2Fgpn%2Fads1113</t>
  </si>
  <si>
    <t>296-38849-1-ND</t>
  </si>
  <si>
    <t>ADS1115IDGSR</t>
  </si>
  <si>
    <t>http://www.ti.com/general/docs/suppproductinfo.tsp?distId=10&amp;gotoUrl=http%3A%2F%2Fwww.ti.com%2Flit%2Fgpn%2Ftlv1117lv</t>
  </si>
  <si>
    <t>296-28778-1-ND</t>
  </si>
  <si>
    <t>TLV1117LV33DCYR</t>
  </si>
  <si>
    <t>http://www.ti.com/general/docs/suppproductinfo.tsp?distId=10&amp;gotoUrl=http%3A%2F%2Fwww.ti.com%2Flit%2Fgpn%2Ftl431</t>
  </si>
  <si>
    <t>296-17328-1-ND</t>
  </si>
  <si>
    <t>TL431ACDBZR</t>
  </si>
  <si>
    <t>https://www.espressif.com/sites/default/files/documentation/esp32-wroom-32d_esp32-wroom-32u_datasheet_en.pdf</t>
  </si>
  <si>
    <t>Espressif Systems</t>
  </si>
  <si>
    <t>1904-1023-1-ND</t>
  </si>
  <si>
    <t>ESP32-WROOM-32D</t>
  </si>
  <si>
    <t>STMicroelectronics</t>
  </si>
  <si>
    <t>497-TSC2012IDTCT-ND</t>
  </si>
  <si>
    <t>MCP23017T-E/SSCT-ND</t>
  </si>
  <si>
    <t>MCP23017T-E/SS</t>
  </si>
  <si>
    <t>MCP23008T-E/SOCT-ND</t>
  </si>
  <si>
    <t>MCP23008T-E/SO</t>
  </si>
  <si>
    <t>Vishay Semiconductor Opto Division</t>
  </si>
  <si>
    <t>VDMG10C0CT-ND</t>
  </si>
  <si>
    <t>296-9226-1-ND</t>
  </si>
  <si>
    <t>CD74HC4067SM96</t>
  </si>
  <si>
    <t>PCB Quantity</t>
  </si>
  <si>
    <t>Price (USD)</t>
  </si>
  <si>
    <t>Shipping Price (USD) Not Inc Stencils</t>
  </si>
  <si>
    <t>Shipping Price per Board (USD)</t>
  </si>
  <si>
    <t>Price per Board (USD)</t>
  </si>
  <si>
    <t>Total Price per Board (USD)</t>
  </si>
  <si>
    <t>Total Cost with 1 Unit</t>
  </si>
  <si>
    <t>Total Cost with 10 Units</t>
  </si>
  <si>
    <t>Total Cost with 100 Units</t>
  </si>
  <si>
    <t>Total Cost with mixed Units</t>
  </si>
  <si>
    <t>Parts Cost (USD) per Board</t>
  </si>
  <si>
    <t>PCBs Total Cost Shipped (USD)</t>
  </si>
  <si>
    <t>Total Parts Costs (USD)</t>
  </si>
  <si>
    <t>Combined Cost per Board (USD)</t>
  </si>
  <si>
    <t>Combined Costs for Boards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</si>
</sst>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0">
    <xf numFmtId="0" fontId="0" fillId="0" borderId="0" xfId="0"/>
    <xf numFmtId="22" fontId="0" fillId="0" borderId="0" xfId="0" applyNumberFormat="1"/>
    <xf numFmtId="0" fontId="18" fillId="0" borderId="0" xfId="42"/>
    <xf numFmtId="49" fontId="0" fillId="0" borderId="0" xfId="0" applyNumberFormat="1"/>
    <xf numFmtId="0" fontId="0" fillId="0" borderId="10" xfId="0" applyBorder="1"/>
    <xf numFmtId="0" fontId="0" fillId="0" borderId="0" xfId="0" applyNumberFormat="1"/>
    <xf numFmtId="0" fontId="16" fillId="0" borderId="11" xfId="0" applyFont="1" applyBorder="1"/>
    <xf numFmtId="0" fontId="16" fillId="0" borderId="11" xfId="0" applyNumberFormat="1" applyFont="1" applyBorder="1"/>
    <xf numFmtId="0" fontId="0" fillId="0" borderId="11" xfId="0" applyBorder="1"/>
    <xf numFmtId="49" fontId="16" fillId="0" borderId="11" xfId="0" applyNumberFormat="1" applyFon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ichicon.co.jp/english/products/pdfs/e-uur.pdf" TargetMode="External"/><Relationship Id="rId13" Type="http://schemas.openxmlformats.org/officeDocument/2006/relationships/hyperlink" Target="http://www.literature.molex.com/SQLImages/kelmscott/Molex/PDF_Images/987650-8131.PDF" TargetMode="External"/><Relationship Id="rId18" Type="http://schemas.openxmlformats.org/officeDocument/2006/relationships/hyperlink" Target="https://industrial.panasonic.com/cdbs/www-data/pdf/AUA0000/AUA0000C8.pdf" TargetMode="External"/><Relationship Id="rId26" Type="http://schemas.openxmlformats.org/officeDocument/2006/relationships/hyperlink" Target="http://www.microchip.com/mymicrochip/filehandler.aspx?ddocname=en021920" TargetMode="External"/><Relationship Id="rId3" Type="http://schemas.openxmlformats.org/officeDocument/2006/relationships/hyperlink" Target="https://www.we-online.de/katalog/datasheet/885012208030.pdf" TargetMode="External"/><Relationship Id="rId21" Type="http://schemas.openxmlformats.org/officeDocument/2006/relationships/hyperlink" Target="http://www.ti.com/general/docs/suppproductinfo.tsp?distId=10&amp;gotoUrl=http%3A%2F%2Fwww.ti.com%2Flit%2Fgpn%2Ftlv1117lv" TargetMode="External"/><Relationship Id="rId7" Type="http://schemas.openxmlformats.org/officeDocument/2006/relationships/hyperlink" Target="https://www.we-online.de/katalog/datasheet/885012208112.pdf" TargetMode="External"/><Relationship Id="rId12" Type="http://schemas.openxmlformats.org/officeDocument/2006/relationships/hyperlink" Target="https://belfuse.com/resources/datasheets/circuitprotection/ds-cp-0zcf-series.pdf" TargetMode="External"/><Relationship Id="rId17" Type="http://schemas.openxmlformats.org/officeDocument/2006/relationships/hyperlink" Target="https://www.seielect.com/catalog/sei-csnl.pdf" TargetMode="External"/><Relationship Id="rId25" Type="http://schemas.openxmlformats.org/officeDocument/2006/relationships/hyperlink" Target="http://ww1.microchip.com/downloads/en/DeviceDoc/20001952C.pdf" TargetMode="External"/><Relationship Id="rId2" Type="http://schemas.openxmlformats.org/officeDocument/2006/relationships/hyperlink" Target="https://dznh3ojzb2azq.cloudfront.net/products/Tactile/PTS636/documents/datasheet.pdf" TargetMode="External"/><Relationship Id="rId16" Type="http://schemas.openxmlformats.org/officeDocument/2006/relationships/hyperlink" Target="https://www.chilisin.com/upload/media/product/power/file/BPSC_Series.pdf" TargetMode="External"/><Relationship Id="rId20" Type="http://schemas.openxmlformats.org/officeDocument/2006/relationships/hyperlink" Target="http://www.ti.com/general/docs/suppproductinfo.tsp?distId=10&amp;gotoUrl=http%3A%2F%2Fwww.ti.com%2Flit%2Fgpn%2Fads1113" TargetMode="External"/><Relationship Id="rId1" Type="http://schemas.openxmlformats.org/officeDocument/2006/relationships/hyperlink" Target="https://dznh3ojzb2azq.cloudfront.net/products/Tactile/PTS636/documents/datasheet.pdf" TargetMode="External"/><Relationship Id="rId6" Type="http://schemas.openxmlformats.org/officeDocument/2006/relationships/hyperlink" Target="https://www.we-online.de/katalog/datasheet/885012208036.pdf" TargetMode="External"/><Relationship Id="rId11" Type="http://schemas.openxmlformats.org/officeDocument/2006/relationships/hyperlink" Target="https://www.cree.com/led-components/media/documents/ds-CLX6F-FKC-1352.pdf" TargetMode="External"/><Relationship Id="rId24" Type="http://schemas.openxmlformats.org/officeDocument/2006/relationships/hyperlink" Target="https://www.st.com/resource/en/datasheet/tsc2012.pdf" TargetMode="External"/><Relationship Id="rId5" Type="http://schemas.openxmlformats.org/officeDocument/2006/relationships/hyperlink" Target="https://media.digikey.com/pdf/Data%20Sheets/Samsung%20PDFs/CL31B225KOHNNWE_Spec.pdf" TargetMode="External"/><Relationship Id="rId15" Type="http://schemas.openxmlformats.org/officeDocument/2006/relationships/hyperlink" Target="https://media.digikey.com/pdf/Data%20Sheets/Molex%20PDFs/87832-300_Pkg_Spec.pdf" TargetMode="External"/><Relationship Id="rId23" Type="http://schemas.openxmlformats.org/officeDocument/2006/relationships/hyperlink" Target="https://www.espressif.com/sites/default/files/documentation/esp32-wroom-32d_esp32-wroom-32u_datasheet_en.pdf" TargetMode="External"/><Relationship Id="rId10" Type="http://schemas.openxmlformats.org/officeDocument/2006/relationships/hyperlink" Target="https://www.taiwansemi.com/assets/uploads/datasheet/TS4148C_G1809.pdf" TargetMode="External"/><Relationship Id="rId19" Type="http://schemas.openxmlformats.org/officeDocument/2006/relationships/hyperlink" Target="http://www.ti.com/general/docs/suppproductinfo.tsp?distId=10&amp;gotoUrl=http%3A%2F%2Fwww.ti.com%2Flit%2Fgpn%2Flm2576hv" TargetMode="External"/><Relationship Id="rId4" Type="http://schemas.openxmlformats.org/officeDocument/2006/relationships/hyperlink" Target="https://www.samsungsem.com/kr/support/product-search/mlcc/CL31B106KQHNFNE.jsp" TargetMode="External"/><Relationship Id="rId9" Type="http://schemas.openxmlformats.org/officeDocument/2006/relationships/hyperlink" Target="https://b2b-api.panasonic.eu/file_stream/pids/fileversion/3102" TargetMode="External"/><Relationship Id="rId14" Type="http://schemas.openxmlformats.org/officeDocument/2006/relationships/hyperlink" Target="http://portal.fciconnect.com/Comergent/fci/drawing/54202.pdf" TargetMode="External"/><Relationship Id="rId22" Type="http://schemas.openxmlformats.org/officeDocument/2006/relationships/hyperlink" Target="http://www.ti.com/general/docs/suppproductinfo.tsp?distId=10&amp;gotoUrl=http%3A%2F%2Fwww.ti.com%2Flit%2Fgpn%2Ftl431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7"/>
  <sheetViews>
    <sheetView topLeftCell="A188" workbookViewId="0">
      <selection activeCell="I258" sqref="I258"/>
    </sheetView>
  </sheetViews>
  <sheetFormatPr defaultRowHeight="14.5" x14ac:dyDescent="0.35"/>
  <sheetData>
    <row r="1" spans="1:19" x14ac:dyDescent="0.35">
      <c r="A1" t="s">
        <v>0</v>
      </c>
      <c r="B1" t="s">
        <v>1</v>
      </c>
    </row>
    <row r="2" spans="1:19" x14ac:dyDescent="0.35">
      <c r="A2" t="s">
        <v>2</v>
      </c>
      <c r="B2" s="1">
        <v>44054.956064814818</v>
      </c>
    </row>
    <row r="3" spans="1:19" x14ac:dyDescent="0.35">
      <c r="A3" t="s">
        <v>3</v>
      </c>
      <c r="B3" t="s">
        <v>4</v>
      </c>
    </row>
    <row r="4" spans="1:19" x14ac:dyDescent="0.35">
      <c r="A4" t="s">
        <v>5</v>
      </c>
      <c r="B4" t="s">
        <v>6</v>
      </c>
    </row>
    <row r="5" spans="1:19" x14ac:dyDescent="0.35">
      <c r="A5" t="s">
        <v>7</v>
      </c>
      <c r="B5">
        <v>183</v>
      </c>
    </row>
    <row r="7" spans="1:19" x14ac:dyDescent="0.35">
      <c r="A7" t="s">
        <v>8</v>
      </c>
    </row>
    <row r="9" spans="1:19" x14ac:dyDescent="0.35">
      <c r="A9" t="s">
        <v>9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  <c r="K9" t="s">
        <v>19</v>
      </c>
      <c r="L9" t="s">
        <v>20</v>
      </c>
      <c r="M9" t="s">
        <v>21</v>
      </c>
      <c r="N9" t="s">
        <v>22</v>
      </c>
      <c r="O9" t="s">
        <v>23</v>
      </c>
      <c r="P9" t="s">
        <v>24</v>
      </c>
      <c r="Q9" t="s">
        <v>25</v>
      </c>
      <c r="R9" t="s">
        <v>26</v>
      </c>
      <c r="S9" t="s">
        <v>27</v>
      </c>
    </row>
    <row r="10" spans="1:19" x14ac:dyDescent="0.35">
      <c r="C10" t="s">
        <v>28</v>
      </c>
      <c r="D10" t="s">
        <v>29</v>
      </c>
      <c r="E10" t="s">
        <v>30</v>
      </c>
      <c r="F10" t="s">
        <v>31</v>
      </c>
      <c r="G10" t="s">
        <v>32</v>
      </c>
      <c r="O10" t="s">
        <v>33</v>
      </c>
      <c r="P10" t="s">
        <v>34</v>
      </c>
      <c r="R10" t="s">
        <v>35</v>
      </c>
      <c r="S10" t="s">
        <v>36</v>
      </c>
    </row>
    <row r="11" spans="1:19" x14ac:dyDescent="0.35">
      <c r="C11" t="s">
        <v>37</v>
      </c>
      <c r="D11" t="s">
        <v>38</v>
      </c>
      <c r="E11" t="s">
        <v>30</v>
      </c>
      <c r="F11" t="s">
        <v>31</v>
      </c>
      <c r="G11" t="s">
        <v>32</v>
      </c>
      <c r="O11" t="s">
        <v>33</v>
      </c>
      <c r="P11" t="s">
        <v>34</v>
      </c>
      <c r="R11" t="s">
        <v>35</v>
      </c>
      <c r="S11" t="s">
        <v>36</v>
      </c>
    </row>
    <row r="12" spans="1:19" x14ac:dyDescent="0.35">
      <c r="C12" t="s">
        <v>39</v>
      </c>
      <c r="D12" t="s">
        <v>40</v>
      </c>
      <c r="E12" t="s">
        <v>30</v>
      </c>
      <c r="F12" t="s">
        <v>31</v>
      </c>
      <c r="G12" t="s">
        <v>32</v>
      </c>
      <c r="O12" t="s">
        <v>33</v>
      </c>
      <c r="P12" t="s">
        <v>34</v>
      </c>
      <c r="R12" t="s">
        <v>35</v>
      </c>
      <c r="S12" t="s">
        <v>36</v>
      </c>
    </row>
    <row r="13" spans="1:19" x14ac:dyDescent="0.35">
      <c r="C13" t="s">
        <v>41</v>
      </c>
      <c r="D13" t="s">
        <v>42</v>
      </c>
      <c r="E13" t="s">
        <v>30</v>
      </c>
      <c r="F13" t="s">
        <v>31</v>
      </c>
      <c r="G13" t="s">
        <v>32</v>
      </c>
      <c r="O13" t="s">
        <v>33</v>
      </c>
      <c r="P13" t="s">
        <v>34</v>
      </c>
      <c r="R13" t="s">
        <v>35</v>
      </c>
      <c r="S13" t="s">
        <v>36</v>
      </c>
    </row>
    <row r="14" spans="1:19" x14ac:dyDescent="0.35">
      <c r="C14" t="s">
        <v>43</v>
      </c>
      <c r="D14" t="s">
        <v>44</v>
      </c>
      <c r="E14" t="s">
        <v>45</v>
      </c>
      <c r="F14" t="s">
        <v>46</v>
      </c>
      <c r="G14" t="s">
        <v>47</v>
      </c>
    </row>
    <row r="15" spans="1:19" x14ac:dyDescent="0.35">
      <c r="C15" t="s">
        <v>48</v>
      </c>
      <c r="D15" t="s">
        <v>49</v>
      </c>
      <c r="E15" t="s">
        <v>45</v>
      </c>
      <c r="F15" t="s">
        <v>46</v>
      </c>
      <c r="G15" t="s">
        <v>47</v>
      </c>
    </row>
    <row r="16" spans="1:19" x14ac:dyDescent="0.35">
      <c r="C16" t="s">
        <v>50</v>
      </c>
      <c r="D16" t="s">
        <v>44</v>
      </c>
      <c r="E16" t="s">
        <v>45</v>
      </c>
      <c r="F16" t="s">
        <v>46</v>
      </c>
      <c r="G16" t="s">
        <v>47</v>
      </c>
    </row>
    <row r="17" spans="3:7" x14ac:dyDescent="0.35">
      <c r="C17" t="s">
        <v>51</v>
      </c>
      <c r="D17" t="s">
        <v>44</v>
      </c>
      <c r="E17" t="s">
        <v>45</v>
      </c>
      <c r="F17" t="s">
        <v>46</v>
      </c>
      <c r="G17" t="s">
        <v>47</v>
      </c>
    </row>
    <row r="18" spans="3:7" x14ac:dyDescent="0.35">
      <c r="C18" t="s">
        <v>52</v>
      </c>
      <c r="D18" t="s">
        <v>53</v>
      </c>
      <c r="E18" t="s">
        <v>45</v>
      </c>
      <c r="F18" t="s">
        <v>46</v>
      </c>
      <c r="G18" t="s">
        <v>47</v>
      </c>
    </row>
    <row r="19" spans="3:7" x14ac:dyDescent="0.35">
      <c r="C19" t="s">
        <v>54</v>
      </c>
      <c r="D19" t="s">
        <v>55</v>
      </c>
      <c r="E19" t="s">
        <v>45</v>
      </c>
      <c r="F19" t="s">
        <v>46</v>
      </c>
      <c r="G19" t="s">
        <v>47</v>
      </c>
    </row>
    <row r="20" spans="3:7" x14ac:dyDescent="0.35">
      <c r="C20" t="s">
        <v>56</v>
      </c>
      <c r="D20" t="s">
        <v>55</v>
      </c>
      <c r="E20" t="s">
        <v>45</v>
      </c>
      <c r="F20" t="s">
        <v>46</v>
      </c>
      <c r="G20" t="s">
        <v>47</v>
      </c>
    </row>
    <row r="21" spans="3:7" x14ac:dyDescent="0.35">
      <c r="C21" t="s">
        <v>57</v>
      </c>
      <c r="D21" t="s">
        <v>44</v>
      </c>
      <c r="E21" t="s">
        <v>45</v>
      </c>
      <c r="F21" t="s">
        <v>46</v>
      </c>
      <c r="G21" t="s">
        <v>47</v>
      </c>
    </row>
    <row r="22" spans="3:7" x14ac:dyDescent="0.35">
      <c r="C22" t="s">
        <v>58</v>
      </c>
      <c r="D22" t="s">
        <v>44</v>
      </c>
      <c r="E22" t="s">
        <v>45</v>
      </c>
      <c r="F22" t="s">
        <v>46</v>
      </c>
      <c r="G22" t="s">
        <v>47</v>
      </c>
    </row>
    <row r="23" spans="3:7" x14ac:dyDescent="0.35">
      <c r="C23" t="s">
        <v>59</v>
      </c>
      <c r="D23" t="s">
        <v>44</v>
      </c>
      <c r="E23" t="s">
        <v>45</v>
      </c>
      <c r="F23" t="s">
        <v>46</v>
      </c>
      <c r="G23" t="s">
        <v>47</v>
      </c>
    </row>
    <row r="24" spans="3:7" x14ac:dyDescent="0.35">
      <c r="C24" t="s">
        <v>60</v>
      </c>
      <c r="D24" t="s">
        <v>44</v>
      </c>
      <c r="E24" t="s">
        <v>45</v>
      </c>
      <c r="F24" t="s">
        <v>46</v>
      </c>
      <c r="G24" t="s">
        <v>47</v>
      </c>
    </row>
    <row r="25" spans="3:7" x14ac:dyDescent="0.35">
      <c r="C25" t="s">
        <v>61</v>
      </c>
      <c r="D25" t="s">
        <v>44</v>
      </c>
      <c r="E25" t="s">
        <v>45</v>
      </c>
      <c r="F25" t="s">
        <v>46</v>
      </c>
      <c r="G25" t="s">
        <v>47</v>
      </c>
    </row>
    <row r="26" spans="3:7" x14ac:dyDescent="0.35">
      <c r="C26" t="s">
        <v>62</v>
      </c>
      <c r="D26" t="s">
        <v>44</v>
      </c>
      <c r="E26" t="s">
        <v>45</v>
      </c>
      <c r="F26" t="s">
        <v>46</v>
      </c>
      <c r="G26" t="s">
        <v>47</v>
      </c>
    </row>
    <row r="27" spans="3:7" x14ac:dyDescent="0.35">
      <c r="C27" t="s">
        <v>63</v>
      </c>
      <c r="D27" t="s">
        <v>44</v>
      </c>
      <c r="E27" t="s">
        <v>45</v>
      </c>
      <c r="F27" t="s">
        <v>46</v>
      </c>
      <c r="G27" t="s">
        <v>47</v>
      </c>
    </row>
    <row r="28" spans="3:7" x14ac:dyDescent="0.35">
      <c r="C28" t="s">
        <v>64</v>
      </c>
      <c r="D28" t="s">
        <v>65</v>
      </c>
      <c r="E28" t="s">
        <v>66</v>
      </c>
      <c r="F28" t="s">
        <v>46</v>
      </c>
      <c r="G28" t="s">
        <v>47</v>
      </c>
    </row>
    <row r="29" spans="3:7" x14ac:dyDescent="0.35">
      <c r="C29" t="s">
        <v>67</v>
      </c>
      <c r="D29" t="s">
        <v>65</v>
      </c>
      <c r="E29" t="s">
        <v>66</v>
      </c>
      <c r="F29" t="s">
        <v>46</v>
      </c>
      <c r="G29" t="s">
        <v>47</v>
      </c>
    </row>
    <row r="30" spans="3:7" x14ac:dyDescent="0.35">
      <c r="C30" t="s">
        <v>68</v>
      </c>
      <c r="D30" t="s">
        <v>65</v>
      </c>
      <c r="E30" t="s">
        <v>66</v>
      </c>
      <c r="F30" t="s">
        <v>46</v>
      </c>
      <c r="G30" t="s">
        <v>47</v>
      </c>
    </row>
    <row r="31" spans="3:7" x14ac:dyDescent="0.35">
      <c r="C31" t="s">
        <v>69</v>
      </c>
      <c r="D31" t="s">
        <v>65</v>
      </c>
      <c r="E31" t="s">
        <v>66</v>
      </c>
      <c r="F31" t="s">
        <v>46</v>
      </c>
      <c r="G31" t="s">
        <v>47</v>
      </c>
    </row>
    <row r="32" spans="3:7" x14ac:dyDescent="0.35">
      <c r="C32" t="s">
        <v>70</v>
      </c>
      <c r="D32" t="s">
        <v>65</v>
      </c>
      <c r="E32" t="s">
        <v>66</v>
      </c>
      <c r="F32" t="s">
        <v>46</v>
      </c>
      <c r="G32" t="s">
        <v>47</v>
      </c>
    </row>
    <row r="33" spans="3:7" x14ac:dyDescent="0.35">
      <c r="C33" t="s">
        <v>71</v>
      </c>
      <c r="D33" t="s">
        <v>65</v>
      </c>
      <c r="E33" t="s">
        <v>66</v>
      </c>
      <c r="F33" t="s">
        <v>46</v>
      </c>
      <c r="G33" t="s">
        <v>47</v>
      </c>
    </row>
    <row r="34" spans="3:7" x14ac:dyDescent="0.35">
      <c r="C34" t="s">
        <v>72</v>
      </c>
      <c r="D34" t="s">
        <v>65</v>
      </c>
      <c r="E34" t="s">
        <v>66</v>
      </c>
      <c r="F34" t="s">
        <v>46</v>
      </c>
      <c r="G34" t="s">
        <v>47</v>
      </c>
    </row>
    <row r="35" spans="3:7" x14ac:dyDescent="0.35">
      <c r="C35" t="s">
        <v>73</v>
      </c>
      <c r="D35" t="s">
        <v>65</v>
      </c>
      <c r="E35" t="s">
        <v>66</v>
      </c>
      <c r="F35" t="s">
        <v>46</v>
      </c>
      <c r="G35" t="s">
        <v>47</v>
      </c>
    </row>
    <row r="36" spans="3:7" x14ac:dyDescent="0.35">
      <c r="C36" t="s">
        <v>74</v>
      </c>
      <c r="D36" t="s">
        <v>65</v>
      </c>
      <c r="E36" t="s">
        <v>66</v>
      </c>
      <c r="F36" t="s">
        <v>46</v>
      </c>
      <c r="G36" t="s">
        <v>47</v>
      </c>
    </row>
    <row r="37" spans="3:7" x14ac:dyDescent="0.35">
      <c r="C37" t="s">
        <v>75</v>
      </c>
      <c r="D37" t="s">
        <v>65</v>
      </c>
      <c r="E37" t="s">
        <v>66</v>
      </c>
      <c r="F37" t="s">
        <v>46</v>
      </c>
      <c r="G37" t="s">
        <v>47</v>
      </c>
    </row>
    <row r="38" spans="3:7" x14ac:dyDescent="0.35">
      <c r="C38" t="s">
        <v>76</v>
      </c>
      <c r="D38" t="s">
        <v>65</v>
      </c>
      <c r="E38" t="s">
        <v>66</v>
      </c>
      <c r="F38" t="s">
        <v>46</v>
      </c>
      <c r="G38" t="s">
        <v>47</v>
      </c>
    </row>
    <row r="39" spans="3:7" x14ac:dyDescent="0.35">
      <c r="C39" t="s">
        <v>77</v>
      </c>
      <c r="D39" t="s">
        <v>65</v>
      </c>
      <c r="E39" t="s">
        <v>66</v>
      </c>
      <c r="F39" t="s">
        <v>46</v>
      </c>
      <c r="G39" t="s">
        <v>47</v>
      </c>
    </row>
    <row r="40" spans="3:7" x14ac:dyDescent="0.35">
      <c r="C40" t="s">
        <v>78</v>
      </c>
      <c r="D40" t="s">
        <v>79</v>
      </c>
      <c r="E40" t="s">
        <v>45</v>
      </c>
      <c r="F40" t="s">
        <v>80</v>
      </c>
      <c r="G40" t="s">
        <v>47</v>
      </c>
    </row>
    <row r="41" spans="3:7" x14ac:dyDescent="0.35">
      <c r="C41" t="s">
        <v>81</v>
      </c>
      <c r="D41" t="s">
        <v>82</v>
      </c>
      <c r="E41" t="s">
        <v>45</v>
      </c>
      <c r="F41" t="s">
        <v>80</v>
      </c>
      <c r="G41" t="s">
        <v>47</v>
      </c>
    </row>
    <row r="42" spans="3:7" x14ac:dyDescent="0.35">
      <c r="C42" t="s">
        <v>83</v>
      </c>
      <c r="D42" t="s">
        <v>84</v>
      </c>
      <c r="E42" t="s">
        <v>85</v>
      </c>
      <c r="F42" t="s">
        <v>86</v>
      </c>
      <c r="G42" t="s">
        <v>47</v>
      </c>
    </row>
    <row r="43" spans="3:7" x14ac:dyDescent="0.35">
      <c r="C43" t="s">
        <v>87</v>
      </c>
      <c r="D43" t="s">
        <v>84</v>
      </c>
      <c r="E43" t="s">
        <v>85</v>
      </c>
      <c r="F43" t="s">
        <v>86</v>
      </c>
      <c r="G43" t="s">
        <v>47</v>
      </c>
    </row>
    <row r="44" spans="3:7" x14ac:dyDescent="0.35">
      <c r="C44" t="s">
        <v>88</v>
      </c>
      <c r="D44" t="s">
        <v>84</v>
      </c>
      <c r="E44" t="s">
        <v>85</v>
      </c>
      <c r="F44" t="s">
        <v>86</v>
      </c>
      <c r="G44" t="s">
        <v>47</v>
      </c>
    </row>
    <row r="45" spans="3:7" x14ac:dyDescent="0.35">
      <c r="C45" t="s">
        <v>89</v>
      </c>
      <c r="D45" t="s">
        <v>90</v>
      </c>
      <c r="E45" t="s">
        <v>91</v>
      </c>
      <c r="F45" t="s">
        <v>92</v>
      </c>
      <c r="G45" t="s">
        <v>93</v>
      </c>
    </row>
    <row r="46" spans="3:7" x14ac:dyDescent="0.35">
      <c r="C46" t="s">
        <v>94</v>
      </c>
      <c r="D46" t="s">
        <v>95</v>
      </c>
      <c r="E46" t="s">
        <v>96</v>
      </c>
      <c r="F46" t="s">
        <v>97</v>
      </c>
      <c r="G46" t="s">
        <v>47</v>
      </c>
    </row>
    <row r="47" spans="3:7" x14ac:dyDescent="0.35">
      <c r="C47" t="s">
        <v>98</v>
      </c>
      <c r="D47" t="s">
        <v>95</v>
      </c>
      <c r="E47" t="s">
        <v>96</v>
      </c>
      <c r="F47" t="s">
        <v>97</v>
      </c>
      <c r="G47" t="s">
        <v>47</v>
      </c>
    </row>
    <row r="48" spans="3:7" x14ac:dyDescent="0.35">
      <c r="C48" t="s">
        <v>99</v>
      </c>
      <c r="D48" t="s">
        <v>95</v>
      </c>
      <c r="E48" t="s">
        <v>96</v>
      </c>
      <c r="F48" t="s">
        <v>97</v>
      </c>
      <c r="G48" t="s">
        <v>47</v>
      </c>
    </row>
    <row r="49" spans="3:7" x14ac:dyDescent="0.35">
      <c r="C49" t="s">
        <v>100</v>
      </c>
      <c r="D49" t="s">
        <v>95</v>
      </c>
      <c r="E49" t="s">
        <v>96</v>
      </c>
      <c r="F49" t="s">
        <v>97</v>
      </c>
      <c r="G49" t="s">
        <v>47</v>
      </c>
    </row>
    <row r="50" spans="3:7" x14ac:dyDescent="0.35">
      <c r="C50" t="s">
        <v>101</v>
      </c>
      <c r="D50" t="s">
        <v>84</v>
      </c>
      <c r="E50" t="s">
        <v>85</v>
      </c>
      <c r="F50" t="s">
        <v>86</v>
      </c>
      <c r="G50" t="s">
        <v>47</v>
      </c>
    </row>
    <row r="51" spans="3:7" x14ac:dyDescent="0.35">
      <c r="C51" t="s">
        <v>102</v>
      </c>
      <c r="D51" t="s">
        <v>84</v>
      </c>
      <c r="E51" t="s">
        <v>85</v>
      </c>
      <c r="F51" t="s">
        <v>86</v>
      </c>
      <c r="G51" t="s">
        <v>47</v>
      </c>
    </row>
    <row r="52" spans="3:7" x14ac:dyDescent="0.35">
      <c r="C52" t="s">
        <v>103</v>
      </c>
      <c r="D52" t="s">
        <v>84</v>
      </c>
      <c r="E52" t="s">
        <v>85</v>
      </c>
      <c r="F52" t="s">
        <v>86</v>
      </c>
      <c r="G52" t="s">
        <v>47</v>
      </c>
    </row>
    <row r="53" spans="3:7" x14ac:dyDescent="0.35">
      <c r="C53" t="s">
        <v>104</v>
      </c>
      <c r="D53" t="s">
        <v>84</v>
      </c>
      <c r="E53" t="s">
        <v>85</v>
      </c>
      <c r="F53" t="s">
        <v>86</v>
      </c>
      <c r="G53" t="s">
        <v>47</v>
      </c>
    </row>
    <row r="54" spans="3:7" x14ac:dyDescent="0.35">
      <c r="C54" t="s">
        <v>105</v>
      </c>
      <c r="D54" t="s">
        <v>84</v>
      </c>
      <c r="E54" t="s">
        <v>85</v>
      </c>
      <c r="F54" t="s">
        <v>86</v>
      </c>
      <c r="G54" t="s">
        <v>47</v>
      </c>
    </row>
    <row r="55" spans="3:7" x14ac:dyDescent="0.35">
      <c r="C55" t="s">
        <v>106</v>
      </c>
      <c r="D55" t="s">
        <v>84</v>
      </c>
      <c r="E55" t="s">
        <v>85</v>
      </c>
      <c r="F55" t="s">
        <v>86</v>
      </c>
      <c r="G55" t="s">
        <v>47</v>
      </c>
    </row>
    <row r="56" spans="3:7" x14ac:dyDescent="0.35">
      <c r="C56" t="s">
        <v>107</v>
      </c>
      <c r="D56" t="s">
        <v>84</v>
      </c>
      <c r="E56" t="s">
        <v>85</v>
      </c>
      <c r="F56" t="s">
        <v>86</v>
      </c>
      <c r="G56" t="s">
        <v>47</v>
      </c>
    </row>
    <row r="57" spans="3:7" x14ac:dyDescent="0.35">
      <c r="C57" t="s">
        <v>108</v>
      </c>
      <c r="D57" t="s">
        <v>84</v>
      </c>
      <c r="E57" t="s">
        <v>85</v>
      </c>
      <c r="F57" t="s">
        <v>86</v>
      </c>
      <c r="G57" t="s">
        <v>47</v>
      </c>
    </row>
    <row r="58" spans="3:7" x14ac:dyDescent="0.35">
      <c r="C58" t="s">
        <v>109</v>
      </c>
      <c r="D58" t="s">
        <v>84</v>
      </c>
      <c r="E58" t="s">
        <v>85</v>
      </c>
      <c r="F58" t="s">
        <v>86</v>
      </c>
      <c r="G58" t="s">
        <v>47</v>
      </c>
    </row>
    <row r="59" spans="3:7" x14ac:dyDescent="0.35">
      <c r="C59" t="s">
        <v>110</v>
      </c>
      <c r="D59" t="s">
        <v>84</v>
      </c>
      <c r="E59" t="s">
        <v>85</v>
      </c>
      <c r="F59" t="s">
        <v>86</v>
      </c>
      <c r="G59" t="s">
        <v>47</v>
      </c>
    </row>
    <row r="60" spans="3:7" x14ac:dyDescent="0.35">
      <c r="C60" t="s">
        <v>111</v>
      </c>
      <c r="D60" t="s">
        <v>84</v>
      </c>
      <c r="E60" t="s">
        <v>85</v>
      </c>
      <c r="F60" t="s">
        <v>86</v>
      </c>
      <c r="G60" t="s">
        <v>47</v>
      </c>
    </row>
    <row r="61" spans="3:7" x14ac:dyDescent="0.35">
      <c r="C61" t="s">
        <v>112</v>
      </c>
      <c r="D61" t="s">
        <v>84</v>
      </c>
      <c r="E61" t="s">
        <v>85</v>
      </c>
      <c r="F61" t="s">
        <v>86</v>
      </c>
      <c r="G61" t="s">
        <v>47</v>
      </c>
    </row>
    <row r="62" spans="3:7" x14ac:dyDescent="0.35">
      <c r="C62" t="s">
        <v>113</v>
      </c>
      <c r="D62" t="s">
        <v>114</v>
      </c>
      <c r="E62" t="s">
        <v>115</v>
      </c>
      <c r="F62" t="s">
        <v>116</v>
      </c>
      <c r="G62" t="s">
        <v>47</v>
      </c>
    </row>
    <row r="63" spans="3:7" x14ac:dyDescent="0.35">
      <c r="C63" t="s">
        <v>117</v>
      </c>
      <c r="D63" t="s">
        <v>118</v>
      </c>
      <c r="E63" t="s">
        <v>119</v>
      </c>
      <c r="F63" t="s">
        <v>120</v>
      </c>
      <c r="G63" t="s">
        <v>47</v>
      </c>
    </row>
    <row r="64" spans="3:7" x14ac:dyDescent="0.35">
      <c r="C64" t="s">
        <v>121</v>
      </c>
      <c r="D64" t="s">
        <v>118</v>
      </c>
      <c r="E64" t="s">
        <v>119</v>
      </c>
      <c r="F64" t="s">
        <v>120</v>
      </c>
      <c r="G64" t="s">
        <v>47</v>
      </c>
    </row>
    <row r="65" spans="3:7" x14ac:dyDescent="0.35">
      <c r="C65" t="s">
        <v>122</v>
      </c>
      <c r="D65" t="s">
        <v>118</v>
      </c>
      <c r="E65" t="s">
        <v>119</v>
      </c>
      <c r="F65" t="s">
        <v>120</v>
      </c>
      <c r="G65" t="s">
        <v>47</v>
      </c>
    </row>
    <row r="66" spans="3:7" x14ac:dyDescent="0.35">
      <c r="C66" t="s">
        <v>123</v>
      </c>
      <c r="D66" t="s">
        <v>118</v>
      </c>
      <c r="E66" t="s">
        <v>119</v>
      </c>
      <c r="F66" t="s">
        <v>120</v>
      </c>
      <c r="G66" t="s">
        <v>47</v>
      </c>
    </row>
    <row r="67" spans="3:7" x14ac:dyDescent="0.35">
      <c r="C67" t="s">
        <v>124</v>
      </c>
      <c r="D67" t="s">
        <v>125</v>
      </c>
      <c r="E67" t="s">
        <v>126</v>
      </c>
      <c r="F67" t="s">
        <v>127</v>
      </c>
      <c r="G67" t="s">
        <v>47</v>
      </c>
    </row>
    <row r="68" spans="3:7" x14ac:dyDescent="0.35">
      <c r="C68" t="s">
        <v>128</v>
      </c>
      <c r="D68" t="s">
        <v>129</v>
      </c>
      <c r="E68" t="s">
        <v>130</v>
      </c>
      <c r="F68" t="s">
        <v>131</v>
      </c>
      <c r="G68" t="s">
        <v>47</v>
      </c>
    </row>
    <row r="69" spans="3:7" x14ac:dyDescent="0.35">
      <c r="C69" t="s">
        <v>132</v>
      </c>
      <c r="D69" t="s">
        <v>133</v>
      </c>
      <c r="E69" t="s">
        <v>134</v>
      </c>
      <c r="F69" t="s">
        <v>135</v>
      </c>
      <c r="G69" t="s">
        <v>47</v>
      </c>
    </row>
    <row r="70" spans="3:7" x14ac:dyDescent="0.35">
      <c r="C70" t="s">
        <v>136</v>
      </c>
      <c r="D70" t="s">
        <v>133</v>
      </c>
      <c r="E70" t="s">
        <v>134</v>
      </c>
      <c r="F70" t="s">
        <v>137</v>
      </c>
      <c r="G70" t="s">
        <v>47</v>
      </c>
    </row>
    <row r="71" spans="3:7" x14ac:dyDescent="0.35">
      <c r="C71" t="s">
        <v>138</v>
      </c>
      <c r="D71" t="s">
        <v>139</v>
      </c>
      <c r="E71" t="s">
        <v>140</v>
      </c>
      <c r="F71" t="s">
        <v>141</v>
      </c>
      <c r="G71" t="s">
        <v>47</v>
      </c>
    </row>
    <row r="72" spans="3:7" x14ac:dyDescent="0.35">
      <c r="C72" t="s">
        <v>142</v>
      </c>
      <c r="D72" t="s">
        <v>139</v>
      </c>
      <c r="E72" t="s">
        <v>140</v>
      </c>
      <c r="F72" t="s">
        <v>141</v>
      </c>
      <c r="G72" t="s">
        <v>47</v>
      </c>
    </row>
    <row r="73" spans="3:7" x14ac:dyDescent="0.35">
      <c r="C73" t="s">
        <v>143</v>
      </c>
      <c r="D73" t="s">
        <v>139</v>
      </c>
      <c r="E73" t="s">
        <v>140</v>
      </c>
      <c r="F73" t="s">
        <v>141</v>
      </c>
      <c r="G73" t="s">
        <v>47</v>
      </c>
    </row>
    <row r="74" spans="3:7" x14ac:dyDescent="0.35">
      <c r="C74" t="s">
        <v>144</v>
      </c>
      <c r="D74" t="s">
        <v>133</v>
      </c>
      <c r="E74" t="s">
        <v>134</v>
      </c>
      <c r="F74" t="s">
        <v>135</v>
      </c>
      <c r="G74" t="s">
        <v>47</v>
      </c>
    </row>
    <row r="75" spans="3:7" x14ac:dyDescent="0.35">
      <c r="C75" t="s">
        <v>145</v>
      </c>
      <c r="D75" t="s">
        <v>146</v>
      </c>
      <c r="E75" t="s">
        <v>147</v>
      </c>
      <c r="F75" t="s">
        <v>148</v>
      </c>
      <c r="G75" t="s">
        <v>47</v>
      </c>
    </row>
    <row r="76" spans="3:7" x14ac:dyDescent="0.35">
      <c r="C76" t="s">
        <v>149</v>
      </c>
      <c r="D76" t="s">
        <v>150</v>
      </c>
      <c r="E76" t="s">
        <v>151</v>
      </c>
      <c r="F76" t="s">
        <v>152</v>
      </c>
      <c r="G76" t="s">
        <v>153</v>
      </c>
    </row>
    <row r="77" spans="3:7" x14ac:dyDescent="0.35">
      <c r="C77" t="s">
        <v>154</v>
      </c>
      <c r="D77" t="s">
        <v>150</v>
      </c>
      <c r="E77" t="s">
        <v>151</v>
      </c>
      <c r="F77" t="s">
        <v>152</v>
      </c>
      <c r="G77" t="s">
        <v>153</v>
      </c>
    </row>
    <row r="78" spans="3:7" x14ac:dyDescent="0.35">
      <c r="C78" t="s">
        <v>155</v>
      </c>
      <c r="D78" t="s">
        <v>156</v>
      </c>
      <c r="E78" t="s">
        <v>157</v>
      </c>
      <c r="F78" t="s">
        <v>158</v>
      </c>
      <c r="G78" t="s">
        <v>159</v>
      </c>
    </row>
    <row r="79" spans="3:7" x14ac:dyDescent="0.35">
      <c r="C79" t="s">
        <v>160</v>
      </c>
      <c r="D79" t="s">
        <v>161</v>
      </c>
      <c r="E79" t="s">
        <v>162</v>
      </c>
      <c r="F79" t="s">
        <v>158</v>
      </c>
      <c r="G79" t="s">
        <v>163</v>
      </c>
    </row>
    <row r="80" spans="3:7" x14ac:dyDescent="0.35">
      <c r="C80" t="s">
        <v>164</v>
      </c>
      <c r="D80" t="s">
        <v>161</v>
      </c>
      <c r="E80" t="s">
        <v>162</v>
      </c>
      <c r="F80" t="s">
        <v>158</v>
      </c>
      <c r="G80" t="s">
        <v>163</v>
      </c>
    </row>
    <row r="81" spans="3:7" x14ac:dyDescent="0.35">
      <c r="C81" t="s">
        <v>165</v>
      </c>
      <c r="D81" t="s">
        <v>161</v>
      </c>
      <c r="E81" t="s">
        <v>162</v>
      </c>
      <c r="F81" t="s">
        <v>158</v>
      </c>
      <c r="G81" t="s">
        <v>163</v>
      </c>
    </row>
    <row r="82" spans="3:7" x14ac:dyDescent="0.35">
      <c r="C82" t="s">
        <v>166</v>
      </c>
      <c r="D82" t="s">
        <v>161</v>
      </c>
      <c r="E82" t="s">
        <v>162</v>
      </c>
      <c r="F82" t="s">
        <v>158</v>
      </c>
      <c r="G82" t="s">
        <v>163</v>
      </c>
    </row>
    <row r="83" spans="3:7" x14ac:dyDescent="0.35">
      <c r="C83" t="s">
        <v>167</v>
      </c>
      <c r="D83" t="s">
        <v>161</v>
      </c>
      <c r="E83" t="s">
        <v>162</v>
      </c>
      <c r="F83" t="s">
        <v>158</v>
      </c>
      <c r="G83" t="s">
        <v>163</v>
      </c>
    </row>
    <row r="84" spans="3:7" x14ac:dyDescent="0.35">
      <c r="C84" t="s">
        <v>168</v>
      </c>
      <c r="D84" t="s">
        <v>161</v>
      </c>
      <c r="E84" t="s">
        <v>162</v>
      </c>
      <c r="F84" t="s">
        <v>158</v>
      </c>
      <c r="G84" t="s">
        <v>163</v>
      </c>
    </row>
    <row r="85" spans="3:7" x14ac:dyDescent="0.35">
      <c r="C85" t="s">
        <v>169</v>
      </c>
      <c r="D85" t="s">
        <v>161</v>
      </c>
      <c r="E85" t="s">
        <v>162</v>
      </c>
      <c r="F85" t="s">
        <v>158</v>
      </c>
      <c r="G85" t="s">
        <v>163</v>
      </c>
    </row>
    <row r="86" spans="3:7" x14ac:dyDescent="0.35">
      <c r="C86" t="s">
        <v>170</v>
      </c>
      <c r="D86" t="s">
        <v>161</v>
      </c>
      <c r="E86" t="s">
        <v>162</v>
      </c>
      <c r="F86" t="s">
        <v>158</v>
      </c>
      <c r="G86" t="s">
        <v>163</v>
      </c>
    </row>
    <row r="87" spans="3:7" x14ac:dyDescent="0.35">
      <c r="C87" t="s">
        <v>171</v>
      </c>
      <c r="D87" t="s">
        <v>161</v>
      </c>
      <c r="E87" t="s">
        <v>162</v>
      </c>
      <c r="F87" t="s">
        <v>158</v>
      </c>
      <c r="G87" t="s">
        <v>163</v>
      </c>
    </row>
    <row r="88" spans="3:7" x14ac:dyDescent="0.35">
      <c r="C88" t="s">
        <v>172</v>
      </c>
      <c r="D88" t="s">
        <v>161</v>
      </c>
      <c r="E88" t="s">
        <v>162</v>
      </c>
      <c r="F88" t="s">
        <v>158</v>
      </c>
      <c r="G88" t="s">
        <v>163</v>
      </c>
    </row>
    <row r="89" spans="3:7" x14ac:dyDescent="0.35">
      <c r="C89" t="s">
        <v>173</v>
      </c>
      <c r="D89" t="s">
        <v>161</v>
      </c>
      <c r="E89" t="s">
        <v>162</v>
      </c>
      <c r="F89" t="s">
        <v>158</v>
      </c>
      <c r="G89" t="s">
        <v>163</v>
      </c>
    </row>
    <row r="90" spans="3:7" x14ac:dyDescent="0.35">
      <c r="C90" t="s">
        <v>174</v>
      </c>
      <c r="D90" t="s">
        <v>161</v>
      </c>
      <c r="E90" t="s">
        <v>162</v>
      </c>
      <c r="F90" t="s">
        <v>158</v>
      </c>
      <c r="G90" t="s">
        <v>163</v>
      </c>
    </row>
    <row r="91" spans="3:7" x14ac:dyDescent="0.35">
      <c r="C91" t="s">
        <v>175</v>
      </c>
      <c r="D91" t="s">
        <v>176</v>
      </c>
      <c r="E91" t="s">
        <v>177</v>
      </c>
      <c r="F91" t="s">
        <v>178</v>
      </c>
      <c r="G91" t="s">
        <v>47</v>
      </c>
    </row>
    <row r="92" spans="3:7" x14ac:dyDescent="0.35">
      <c r="C92" t="s">
        <v>179</v>
      </c>
      <c r="D92" t="s">
        <v>176</v>
      </c>
      <c r="E92" t="s">
        <v>177</v>
      </c>
      <c r="F92" t="s">
        <v>178</v>
      </c>
      <c r="G92" t="s">
        <v>47</v>
      </c>
    </row>
    <row r="93" spans="3:7" x14ac:dyDescent="0.35">
      <c r="C93" t="s">
        <v>180</v>
      </c>
      <c r="D93" t="s">
        <v>181</v>
      </c>
      <c r="E93" t="s">
        <v>177</v>
      </c>
      <c r="F93" t="s">
        <v>178</v>
      </c>
      <c r="G93" t="s">
        <v>47</v>
      </c>
    </row>
    <row r="94" spans="3:7" x14ac:dyDescent="0.35">
      <c r="C94" t="s">
        <v>182</v>
      </c>
      <c r="D94" t="s">
        <v>181</v>
      </c>
      <c r="E94" t="s">
        <v>177</v>
      </c>
      <c r="F94" t="s">
        <v>178</v>
      </c>
      <c r="G94" t="s">
        <v>47</v>
      </c>
    </row>
    <row r="95" spans="3:7" x14ac:dyDescent="0.35">
      <c r="C95" t="s">
        <v>183</v>
      </c>
      <c r="D95" t="s">
        <v>176</v>
      </c>
      <c r="E95" t="s">
        <v>177</v>
      </c>
      <c r="F95" t="s">
        <v>178</v>
      </c>
      <c r="G95" t="s">
        <v>47</v>
      </c>
    </row>
    <row r="96" spans="3:7" x14ac:dyDescent="0.35">
      <c r="C96" t="s">
        <v>184</v>
      </c>
      <c r="D96" t="s">
        <v>176</v>
      </c>
      <c r="E96" t="s">
        <v>177</v>
      </c>
      <c r="F96" t="s">
        <v>178</v>
      </c>
      <c r="G96" t="s">
        <v>47</v>
      </c>
    </row>
    <row r="97" spans="3:7" x14ac:dyDescent="0.35">
      <c r="C97" t="s">
        <v>185</v>
      </c>
      <c r="D97" t="s">
        <v>186</v>
      </c>
      <c r="E97" t="s">
        <v>177</v>
      </c>
      <c r="F97" t="s">
        <v>187</v>
      </c>
      <c r="G97" t="s">
        <v>47</v>
      </c>
    </row>
    <row r="98" spans="3:7" x14ac:dyDescent="0.35">
      <c r="C98" t="s">
        <v>188</v>
      </c>
      <c r="D98" t="s">
        <v>189</v>
      </c>
      <c r="E98" t="s">
        <v>177</v>
      </c>
      <c r="F98" t="s">
        <v>178</v>
      </c>
      <c r="G98" t="s">
        <v>47</v>
      </c>
    </row>
    <row r="99" spans="3:7" x14ac:dyDescent="0.35">
      <c r="C99" t="s">
        <v>190</v>
      </c>
      <c r="D99" t="s">
        <v>191</v>
      </c>
      <c r="E99" t="s">
        <v>192</v>
      </c>
      <c r="F99" t="s">
        <v>178</v>
      </c>
      <c r="G99" t="s">
        <v>47</v>
      </c>
    </row>
    <row r="100" spans="3:7" x14ac:dyDescent="0.35">
      <c r="C100" t="s">
        <v>193</v>
      </c>
      <c r="D100" t="s">
        <v>194</v>
      </c>
      <c r="E100" t="s">
        <v>177</v>
      </c>
      <c r="F100" t="s">
        <v>178</v>
      </c>
      <c r="G100" t="s">
        <v>47</v>
      </c>
    </row>
    <row r="101" spans="3:7" x14ac:dyDescent="0.35">
      <c r="C101" t="s">
        <v>195</v>
      </c>
      <c r="D101" t="s">
        <v>196</v>
      </c>
      <c r="E101" t="s">
        <v>177</v>
      </c>
      <c r="F101" t="s">
        <v>178</v>
      </c>
      <c r="G101" t="s">
        <v>47</v>
      </c>
    </row>
    <row r="102" spans="3:7" x14ac:dyDescent="0.35">
      <c r="C102" t="s">
        <v>197</v>
      </c>
      <c r="D102" t="s">
        <v>196</v>
      </c>
      <c r="E102" t="s">
        <v>177</v>
      </c>
      <c r="F102" t="s">
        <v>178</v>
      </c>
      <c r="G102" t="s">
        <v>47</v>
      </c>
    </row>
    <row r="103" spans="3:7" x14ac:dyDescent="0.35">
      <c r="C103" t="s">
        <v>198</v>
      </c>
      <c r="D103" t="s">
        <v>196</v>
      </c>
      <c r="E103" t="s">
        <v>177</v>
      </c>
      <c r="F103" t="s">
        <v>178</v>
      </c>
      <c r="G103" t="s">
        <v>47</v>
      </c>
    </row>
    <row r="104" spans="3:7" x14ac:dyDescent="0.35">
      <c r="C104" t="s">
        <v>199</v>
      </c>
      <c r="D104" t="s">
        <v>196</v>
      </c>
      <c r="E104" t="s">
        <v>177</v>
      </c>
      <c r="F104" t="s">
        <v>178</v>
      </c>
      <c r="G104" t="s">
        <v>47</v>
      </c>
    </row>
    <row r="105" spans="3:7" x14ac:dyDescent="0.35">
      <c r="C105" t="s">
        <v>200</v>
      </c>
      <c r="D105" t="s">
        <v>196</v>
      </c>
      <c r="E105" t="s">
        <v>177</v>
      </c>
      <c r="F105" t="s">
        <v>178</v>
      </c>
      <c r="G105" t="s">
        <v>47</v>
      </c>
    </row>
    <row r="106" spans="3:7" x14ac:dyDescent="0.35">
      <c r="C106" t="s">
        <v>201</v>
      </c>
      <c r="D106" t="s">
        <v>196</v>
      </c>
      <c r="E106" t="s">
        <v>177</v>
      </c>
      <c r="F106" t="s">
        <v>178</v>
      </c>
      <c r="G106" t="s">
        <v>47</v>
      </c>
    </row>
    <row r="107" spans="3:7" x14ac:dyDescent="0.35">
      <c r="C107" t="s">
        <v>202</v>
      </c>
      <c r="D107" t="s">
        <v>196</v>
      </c>
      <c r="E107" t="s">
        <v>177</v>
      </c>
      <c r="F107" t="s">
        <v>178</v>
      </c>
      <c r="G107" t="s">
        <v>47</v>
      </c>
    </row>
    <row r="108" spans="3:7" x14ac:dyDescent="0.35">
      <c r="C108" t="s">
        <v>203</v>
      </c>
      <c r="D108" t="s">
        <v>196</v>
      </c>
      <c r="E108" t="s">
        <v>177</v>
      </c>
      <c r="F108" t="s">
        <v>178</v>
      </c>
      <c r="G108" t="s">
        <v>47</v>
      </c>
    </row>
    <row r="109" spans="3:7" x14ac:dyDescent="0.35">
      <c r="C109" t="s">
        <v>204</v>
      </c>
      <c r="D109" t="s">
        <v>191</v>
      </c>
      <c r="E109" t="s">
        <v>192</v>
      </c>
      <c r="F109" t="s">
        <v>178</v>
      </c>
      <c r="G109" t="s">
        <v>47</v>
      </c>
    </row>
    <row r="110" spans="3:7" x14ac:dyDescent="0.35">
      <c r="C110" t="s">
        <v>205</v>
      </c>
      <c r="D110" t="s">
        <v>191</v>
      </c>
      <c r="E110" t="s">
        <v>192</v>
      </c>
      <c r="F110" t="s">
        <v>178</v>
      </c>
      <c r="G110" t="s">
        <v>47</v>
      </c>
    </row>
    <row r="111" spans="3:7" x14ac:dyDescent="0.35">
      <c r="C111" t="s">
        <v>206</v>
      </c>
      <c r="D111" t="s">
        <v>191</v>
      </c>
      <c r="E111" t="s">
        <v>192</v>
      </c>
      <c r="F111" t="s">
        <v>178</v>
      </c>
      <c r="G111" t="s">
        <v>47</v>
      </c>
    </row>
    <row r="112" spans="3:7" x14ac:dyDescent="0.35">
      <c r="C112" t="s">
        <v>207</v>
      </c>
      <c r="D112" t="s">
        <v>196</v>
      </c>
      <c r="E112" t="s">
        <v>177</v>
      </c>
      <c r="F112" t="s">
        <v>178</v>
      </c>
      <c r="G112" t="s">
        <v>47</v>
      </c>
    </row>
    <row r="113" spans="3:7" x14ac:dyDescent="0.35">
      <c r="C113" t="s">
        <v>208</v>
      </c>
      <c r="D113" t="s">
        <v>196</v>
      </c>
      <c r="E113" t="s">
        <v>177</v>
      </c>
      <c r="F113" t="s">
        <v>178</v>
      </c>
      <c r="G113" t="s">
        <v>47</v>
      </c>
    </row>
    <row r="114" spans="3:7" x14ac:dyDescent="0.35">
      <c r="C114" t="s">
        <v>209</v>
      </c>
      <c r="D114" t="s">
        <v>196</v>
      </c>
      <c r="E114" t="s">
        <v>177</v>
      </c>
      <c r="F114" t="s">
        <v>178</v>
      </c>
      <c r="G114" t="s">
        <v>47</v>
      </c>
    </row>
    <row r="115" spans="3:7" x14ac:dyDescent="0.35">
      <c r="C115" t="s">
        <v>210</v>
      </c>
      <c r="D115" t="s">
        <v>196</v>
      </c>
      <c r="E115" t="s">
        <v>177</v>
      </c>
      <c r="F115" t="s">
        <v>178</v>
      </c>
      <c r="G115" t="s">
        <v>47</v>
      </c>
    </row>
    <row r="116" spans="3:7" x14ac:dyDescent="0.35">
      <c r="C116" t="s">
        <v>211</v>
      </c>
      <c r="D116" t="s">
        <v>196</v>
      </c>
      <c r="E116" t="s">
        <v>177</v>
      </c>
      <c r="F116" t="s">
        <v>178</v>
      </c>
      <c r="G116" t="s">
        <v>47</v>
      </c>
    </row>
    <row r="117" spans="3:7" x14ac:dyDescent="0.35">
      <c r="C117" t="s">
        <v>212</v>
      </c>
      <c r="D117" t="s">
        <v>196</v>
      </c>
      <c r="E117" t="s">
        <v>177</v>
      </c>
      <c r="F117" t="s">
        <v>178</v>
      </c>
      <c r="G117" t="s">
        <v>47</v>
      </c>
    </row>
    <row r="118" spans="3:7" x14ac:dyDescent="0.35">
      <c r="C118" t="s">
        <v>213</v>
      </c>
      <c r="D118" t="s">
        <v>196</v>
      </c>
      <c r="E118" t="s">
        <v>177</v>
      </c>
      <c r="F118" t="s">
        <v>178</v>
      </c>
      <c r="G118" t="s">
        <v>47</v>
      </c>
    </row>
    <row r="119" spans="3:7" x14ac:dyDescent="0.35">
      <c r="C119" t="s">
        <v>214</v>
      </c>
      <c r="D119" t="s">
        <v>191</v>
      </c>
      <c r="E119" t="s">
        <v>192</v>
      </c>
      <c r="F119" t="s">
        <v>178</v>
      </c>
      <c r="G119" t="s">
        <v>47</v>
      </c>
    </row>
    <row r="120" spans="3:7" x14ac:dyDescent="0.35">
      <c r="C120" t="s">
        <v>215</v>
      </c>
      <c r="D120" t="s">
        <v>191</v>
      </c>
      <c r="E120" t="s">
        <v>192</v>
      </c>
      <c r="F120" t="s">
        <v>178</v>
      </c>
      <c r="G120" t="s">
        <v>47</v>
      </c>
    </row>
    <row r="121" spans="3:7" x14ac:dyDescent="0.35">
      <c r="C121" t="s">
        <v>216</v>
      </c>
      <c r="D121" t="s">
        <v>217</v>
      </c>
      <c r="E121" t="s">
        <v>177</v>
      </c>
      <c r="F121" t="s">
        <v>178</v>
      </c>
      <c r="G121" t="s">
        <v>47</v>
      </c>
    </row>
    <row r="122" spans="3:7" x14ac:dyDescent="0.35">
      <c r="C122" t="s">
        <v>218</v>
      </c>
      <c r="D122" t="s">
        <v>219</v>
      </c>
      <c r="E122" t="s">
        <v>177</v>
      </c>
      <c r="F122" t="s">
        <v>178</v>
      </c>
      <c r="G122" t="s">
        <v>47</v>
      </c>
    </row>
    <row r="123" spans="3:7" x14ac:dyDescent="0.35">
      <c r="C123" t="s">
        <v>220</v>
      </c>
      <c r="D123" t="s">
        <v>221</v>
      </c>
      <c r="E123" t="s">
        <v>177</v>
      </c>
      <c r="F123" t="s">
        <v>178</v>
      </c>
      <c r="G123" t="s">
        <v>47</v>
      </c>
    </row>
    <row r="124" spans="3:7" x14ac:dyDescent="0.35">
      <c r="C124" t="s">
        <v>222</v>
      </c>
      <c r="D124" t="s">
        <v>223</v>
      </c>
      <c r="E124" t="s">
        <v>177</v>
      </c>
      <c r="F124" t="s">
        <v>178</v>
      </c>
      <c r="G124" t="s">
        <v>47</v>
      </c>
    </row>
    <row r="125" spans="3:7" x14ac:dyDescent="0.35">
      <c r="C125" t="s">
        <v>224</v>
      </c>
      <c r="D125" t="s">
        <v>223</v>
      </c>
      <c r="E125" t="s">
        <v>177</v>
      </c>
      <c r="F125" t="s">
        <v>178</v>
      </c>
      <c r="G125" t="s">
        <v>47</v>
      </c>
    </row>
    <row r="126" spans="3:7" x14ac:dyDescent="0.35">
      <c r="C126" t="s">
        <v>225</v>
      </c>
      <c r="D126" t="s">
        <v>226</v>
      </c>
      <c r="E126" t="s">
        <v>177</v>
      </c>
      <c r="F126" t="s">
        <v>178</v>
      </c>
      <c r="G126" t="s">
        <v>47</v>
      </c>
    </row>
    <row r="127" spans="3:7" x14ac:dyDescent="0.35">
      <c r="C127" t="s">
        <v>227</v>
      </c>
      <c r="D127" t="s">
        <v>217</v>
      </c>
      <c r="E127" t="s">
        <v>177</v>
      </c>
      <c r="F127" t="s">
        <v>178</v>
      </c>
      <c r="G127" t="s">
        <v>47</v>
      </c>
    </row>
    <row r="128" spans="3:7" x14ac:dyDescent="0.35">
      <c r="C128" t="s">
        <v>228</v>
      </c>
      <c r="D128" t="s">
        <v>229</v>
      </c>
      <c r="E128" t="s">
        <v>177</v>
      </c>
      <c r="F128" t="s">
        <v>178</v>
      </c>
      <c r="G128" t="s">
        <v>47</v>
      </c>
    </row>
    <row r="129" spans="3:7" x14ac:dyDescent="0.35">
      <c r="C129" t="s">
        <v>230</v>
      </c>
      <c r="D129" t="s">
        <v>229</v>
      </c>
      <c r="E129" t="s">
        <v>177</v>
      </c>
      <c r="F129" t="s">
        <v>178</v>
      </c>
      <c r="G129" t="s">
        <v>47</v>
      </c>
    </row>
    <row r="130" spans="3:7" x14ac:dyDescent="0.35">
      <c r="C130" t="s">
        <v>231</v>
      </c>
      <c r="D130" t="s">
        <v>229</v>
      </c>
      <c r="E130" t="s">
        <v>177</v>
      </c>
      <c r="F130" t="s">
        <v>178</v>
      </c>
      <c r="G130" t="s">
        <v>47</v>
      </c>
    </row>
    <row r="131" spans="3:7" x14ac:dyDescent="0.35">
      <c r="C131" t="s">
        <v>232</v>
      </c>
      <c r="D131" t="s">
        <v>229</v>
      </c>
      <c r="E131" t="s">
        <v>177</v>
      </c>
      <c r="F131" t="s">
        <v>178</v>
      </c>
      <c r="G131" t="s">
        <v>47</v>
      </c>
    </row>
    <row r="132" spans="3:7" x14ac:dyDescent="0.35">
      <c r="C132" t="s">
        <v>233</v>
      </c>
      <c r="D132" t="s">
        <v>234</v>
      </c>
      <c r="E132" t="s">
        <v>177</v>
      </c>
      <c r="F132" t="s">
        <v>178</v>
      </c>
      <c r="G132" t="s">
        <v>47</v>
      </c>
    </row>
    <row r="133" spans="3:7" x14ac:dyDescent="0.35">
      <c r="C133" t="s">
        <v>235</v>
      </c>
      <c r="D133" t="s">
        <v>236</v>
      </c>
      <c r="E133" t="s">
        <v>177</v>
      </c>
      <c r="F133" t="s">
        <v>178</v>
      </c>
      <c r="G133" t="s">
        <v>47</v>
      </c>
    </row>
    <row r="134" spans="3:7" x14ac:dyDescent="0.35">
      <c r="C134" t="s">
        <v>237</v>
      </c>
      <c r="D134" t="s">
        <v>234</v>
      </c>
      <c r="E134" t="s">
        <v>177</v>
      </c>
      <c r="F134" t="s">
        <v>178</v>
      </c>
      <c r="G134" t="s">
        <v>47</v>
      </c>
    </row>
    <row r="135" spans="3:7" x14ac:dyDescent="0.35">
      <c r="C135" t="s">
        <v>238</v>
      </c>
      <c r="D135" t="s">
        <v>226</v>
      </c>
      <c r="E135" t="s">
        <v>177</v>
      </c>
      <c r="F135" t="s">
        <v>178</v>
      </c>
      <c r="G135" t="s">
        <v>47</v>
      </c>
    </row>
    <row r="136" spans="3:7" x14ac:dyDescent="0.35">
      <c r="C136" t="s">
        <v>239</v>
      </c>
      <c r="D136" t="s">
        <v>223</v>
      </c>
      <c r="E136" t="s">
        <v>177</v>
      </c>
      <c r="F136" t="s">
        <v>178</v>
      </c>
      <c r="G136" t="s">
        <v>47</v>
      </c>
    </row>
    <row r="137" spans="3:7" x14ac:dyDescent="0.35">
      <c r="C137" t="s">
        <v>240</v>
      </c>
      <c r="D137" t="s">
        <v>226</v>
      </c>
      <c r="E137" t="s">
        <v>177</v>
      </c>
      <c r="F137" t="s">
        <v>178</v>
      </c>
      <c r="G137" t="s">
        <v>47</v>
      </c>
    </row>
    <row r="138" spans="3:7" x14ac:dyDescent="0.35">
      <c r="C138" t="s">
        <v>241</v>
      </c>
      <c r="D138" t="s">
        <v>221</v>
      </c>
      <c r="E138" t="s">
        <v>177</v>
      </c>
      <c r="F138" t="s">
        <v>178</v>
      </c>
      <c r="G138" t="s">
        <v>47</v>
      </c>
    </row>
    <row r="139" spans="3:7" x14ac:dyDescent="0.35">
      <c r="C139" t="s">
        <v>242</v>
      </c>
      <c r="D139" t="s">
        <v>223</v>
      </c>
      <c r="E139" t="s">
        <v>177</v>
      </c>
      <c r="F139" t="s">
        <v>178</v>
      </c>
      <c r="G139" t="s">
        <v>47</v>
      </c>
    </row>
    <row r="140" spans="3:7" x14ac:dyDescent="0.35">
      <c r="C140" t="s">
        <v>243</v>
      </c>
      <c r="D140" t="s">
        <v>244</v>
      </c>
      <c r="E140" t="s">
        <v>177</v>
      </c>
      <c r="F140" t="s">
        <v>178</v>
      </c>
      <c r="G140" t="s">
        <v>47</v>
      </c>
    </row>
    <row r="141" spans="3:7" x14ac:dyDescent="0.35">
      <c r="C141" t="s">
        <v>245</v>
      </c>
      <c r="D141" t="s">
        <v>246</v>
      </c>
      <c r="E141" t="s">
        <v>177</v>
      </c>
      <c r="F141" t="s">
        <v>178</v>
      </c>
      <c r="G141" t="s">
        <v>47</v>
      </c>
    </row>
    <row r="142" spans="3:7" x14ac:dyDescent="0.35">
      <c r="C142" t="s">
        <v>247</v>
      </c>
      <c r="D142" t="s">
        <v>248</v>
      </c>
      <c r="E142" t="s">
        <v>177</v>
      </c>
      <c r="F142" t="s">
        <v>178</v>
      </c>
      <c r="G142" t="s">
        <v>47</v>
      </c>
    </row>
    <row r="143" spans="3:7" x14ac:dyDescent="0.35">
      <c r="C143" t="s">
        <v>249</v>
      </c>
      <c r="D143" t="s">
        <v>248</v>
      </c>
      <c r="E143" t="s">
        <v>177</v>
      </c>
      <c r="F143" t="s">
        <v>178</v>
      </c>
      <c r="G143" t="s">
        <v>47</v>
      </c>
    </row>
    <row r="144" spans="3:7" x14ac:dyDescent="0.35">
      <c r="C144" t="s">
        <v>250</v>
      </c>
      <c r="D144" t="s">
        <v>248</v>
      </c>
      <c r="E144" t="s">
        <v>177</v>
      </c>
      <c r="F144" t="s">
        <v>178</v>
      </c>
      <c r="G144" t="s">
        <v>47</v>
      </c>
    </row>
    <row r="145" spans="3:7" x14ac:dyDescent="0.35">
      <c r="C145" t="s">
        <v>251</v>
      </c>
      <c r="D145" t="s">
        <v>246</v>
      </c>
      <c r="E145" t="s">
        <v>177</v>
      </c>
      <c r="F145" t="s">
        <v>178</v>
      </c>
      <c r="G145" t="s">
        <v>47</v>
      </c>
    </row>
    <row r="146" spans="3:7" x14ac:dyDescent="0.35">
      <c r="C146" t="s">
        <v>252</v>
      </c>
      <c r="D146" t="s">
        <v>253</v>
      </c>
      <c r="E146" t="s">
        <v>177</v>
      </c>
      <c r="F146" t="s">
        <v>178</v>
      </c>
      <c r="G146" t="s">
        <v>47</v>
      </c>
    </row>
    <row r="147" spans="3:7" x14ac:dyDescent="0.35">
      <c r="C147" t="s">
        <v>254</v>
      </c>
      <c r="D147" t="s">
        <v>253</v>
      </c>
      <c r="E147" t="s">
        <v>177</v>
      </c>
      <c r="F147" t="s">
        <v>178</v>
      </c>
      <c r="G147" t="s">
        <v>47</v>
      </c>
    </row>
    <row r="148" spans="3:7" x14ac:dyDescent="0.35">
      <c r="C148" t="s">
        <v>255</v>
      </c>
      <c r="D148" t="s">
        <v>256</v>
      </c>
      <c r="E148" t="s">
        <v>177</v>
      </c>
      <c r="F148" t="s">
        <v>178</v>
      </c>
      <c r="G148" t="s">
        <v>47</v>
      </c>
    </row>
    <row r="149" spans="3:7" x14ac:dyDescent="0.35">
      <c r="C149" t="s">
        <v>257</v>
      </c>
      <c r="D149" t="s">
        <v>258</v>
      </c>
      <c r="E149" t="s">
        <v>177</v>
      </c>
      <c r="F149" t="s">
        <v>178</v>
      </c>
      <c r="G149" t="s">
        <v>47</v>
      </c>
    </row>
    <row r="150" spans="3:7" x14ac:dyDescent="0.35">
      <c r="C150" t="s">
        <v>259</v>
      </c>
      <c r="D150" t="s">
        <v>260</v>
      </c>
      <c r="E150" t="s">
        <v>177</v>
      </c>
      <c r="F150" t="s">
        <v>178</v>
      </c>
      <c r="G150" t="s">
        <v>47</v>
      </c>
    </row>
    <row r="151" spans="3:7" x14ac:dyDescent="0.35">
      <c r="C151" t="s">
        <v>261</v>
      </c>
      <c r="D151" t="s">
        <v>260</v>
      </c>
      <c r="E151" t="s">
        <v>177</v>
      </c>
      <c r="F151" t="s">
        <v>178</v>
      </c>
      <c r="G151" t="s">
        <v>47</v>
      </c>
    </row>
    <row r="152" spans="3:7" x14ac:dyDescent="0.35">
      <c r="C152" t="s">
        <v>262</v>
      </c>
      <c r="D152" t="s">
        <v>260</v>
      </c>
      <c r="E152" t="s">
        <v>177</v>
      </c>
      <c r="F152" t="s">
        <v>178</v>
      </c>
      <c r="G152" t="s">
        <v>47</v>
      </c>
    </row>
    <row r="153" spans="3:7" x14ac:dyDescent="0.35">
      <c r="C153" t="s">
        <v>263</v>
      </c>
      <c r="D153" t="s">
        <v>260</v>
      </c>
      <c r="E153" t="s">
        <v>177</v>
      </c>
      <c r="F153" t="s">
        <v>178</v>
      </c>
      <c r="G153" t="s">
        <v>47</v>
      </c>
    </row>
    <row r="154" spans="3:7" x14ac:dyDescent="0.35">
      <c r="C154" t="s">
        <v>264</v>
      </c>
      <c r="D154" t="s">
        <v>260</v>
      </c>
      <c r="E154" t="s">
        <v>177</v>
      </c>
      <c r="F154" t="s">
        <v>178</v>
      </c>
      <c r="G154" t="s">
        <v>47</v>
      </c>
    </row>
    <row r="155" spans="3:7" x14ac:dyDescent="0.35">
      <c r="C155" t="s">
        <v>265</v>
      </c>
      <c r="D155" t="s">
        <v>260</v>
      </c>
      <c r="E155" t="s">
        <v>177</v>
      </c>
      <c r="F155" t="s">
        <v>178</v>
      </c>
      <c r="G155" t="s">
        <v>47</v>
      </c>
    </row>
    <row r="156" spans="3:7" x14ac:dyDescent="0.35">
      <c r="C156" t="s">
        <v>266</v>
      </c>
      <c r="D156" t="s">
        <v>260</v>
      </c>
      <c r="E156" t="s">
        <v>177</v>
      </c>
      <c r="F156" t="s">
        <v>178</v>
      </c>
      <c r="G156" t="s">
        <v>47</v>
      </c>
    </row>
    <row r="157" spans="3:7" x14ac:dyDescent="0.35">
      <c r="C157" t="s">
        <v>267</v>
      </c>
      <c r="D157" t="s">
        <v>260</v>
      </c>
      <c r="E157" t="s">
        <v>177</v>
      </c>
      <c r="F157" t="s">
        <v>178</v>
      </c>
      <c r="G157" t="s">
        <v>47</v>
      </c>
    </row>
    <row r="158" spans="3:7" x14ac:dyDescent="0.35">
      <c r="C158" t="s">
        <v>268</v>
      </c>
      <c r="D158" t="s">
        <v>260</v>
      </c>
      <c r="E158" t="s">
        <v>177</v>
      </c>
      <c r="F158" t="s">
        <v>178</v>
      </c>
      <c r="G158" t="s">
        <v>47</v>
      </c>
    </row>
    <row r="159" spans="3:7" x14ac:dyDescent="0.35">
      <c r="C159" t="s">
        <v>269</v>
      </c>
      <c r="D159" t="s">
        <v>260</v>
      </c>
      <c r="E159" t="s">
        <v>177</v>
      </c>
      <c r="F159" t="s">
        <v>178</v>
      </c>
      <c r="G159" t="s">
        <v>47</v>
      </c>
    </row>
    <row r="160" spans="3:7" x14ac:dyDescent="0.35">
      <c r="C160" t="s">
        <v>270</v>
      </c>
      <c r="D160" t="s">
        <v>260</v>
      </c>
      <c r="E160" t="s">
        <v>177</v>
      </c>
      <c r="F160" t="s">
        <v>178</v>
      </c>
      <c r="G160" t="s">
        <v>47</v>
      </c>
    </row>
    <row r="161" spans="3:7" x14ac:dyDescent="0.35">
      <c r="C161" t="s">
        <v>271</v>
      </c>
      <c r="D161" t="s">
        <v>260</v>
      </c>
      <c r="E161" t="s">
        <v>177</v>
      </c>
      <c r="F161" t="s">
        <v>178</v>
      </c>
      <c r="G161" t="s">
        <v>47</v>
      </c>
    </row>
    <row r="162" spans="3:7" x14ac:dyDescent="0.35">
      <c r="C162" t="s">
        <v>272</v>
      </c>
      <c r="D162" t="s">
        <v>191</v>
      </c>
      <c r="E162" t="s">
        <v>177</v>
      </c>
      <c r="F162" t="s">
        <v>178</v>
      </c>
      <c r="G162" t="s">
        <v>47</v>
      </c>
    </row>
    <row r="163" spans="3:7" x14ac:dyDescent="0.35">
      <c r="C163" t="s">
        <v>273</v>
      </c>
      <c r="D163" t="s">
        <v>191</v>
      </c>
      <c r="E163" t="s">
        <v>177</v>
      </c>
      <c r="F163" t="s">
        <v>178</v>
      </c>
      <c r="G163" t="s">
        <v>47</v>
      </c>
    </row>
    <row r="164" spans="3:7" x14ac:dyDescent="0.35">
      <c r="C164" t="s">
        <v>274</v>
      </c>
      <c r="D164" t="s">
        <v>191</v>
      </c>
      <c r="E164" t="s">
        <v>177</v>
      </c>
      <c r="F164" t="s">
        <v>178</v>
      </c>
      <c r="G164" t="s">
        <v>47</v>
      </c>
    </row>
    <row r="165" spans="3:7" x14ac:dyDescent="0.35">
      <c r="C165" t="s">
        <v>275</v>
      </c>
      <c r="D165" t="s">
        <v>191</v>
      </c>
      <c r="E165" t="s">
        <v>177</v>
      </c>
      <c r="F165" t="s">
        <v>178</v>
      </c>
      <c r="G165" t="s">
        <v>47</v>
      </c>
    </row>
    <row r="166" spans="3:7" x14ac:dyDescent="0.35">
      <c r="C166" t="s">
        <v>276</v>
      </c>
      <c r="D166" t="s">
        <v>229</v>
      </c>
      <c r="E166" t="s">
        <v>177</v>
      </c>
      <c r="F166" t="s">
        <v>178</v>
      </c>
      <c r="G166" t="s">
        <v>47</v>
      </c>
    </row>
    <row r="167" spans="3:7" x14ac:dyDescent="0.35">
      <c r="C167" t="s">
        <v>277</v>
      </c>
      <c r="D167" t="s">
        <v>229</v>
      </c>
      <c r="E167" t="s">
        <v>177</v>
      </c>
      <c r="F167" t="s">
        <v>178</v>
      </c>
      <c r="G167" t="s">
        <v>47</v>
      </c>
    </row>
    <row r="168" spans="3:7" x14ac:dyDescent="0.35">
      <c r="C168" t="s">
        <v>278</v>
      </c>
      <c r="D168" t="s">
        <v>229</v>
      </c>
      <c r="E168" t="s">
        <v>177</v>
      </c>
      <c r="F168" t="s">
        <v>178</v>
      </c>
      <c r="G168" t="s">
        <v>47</v>
      </c>
    </row>
    <row r="169" spans="3:7" x14ac:dyDescent="0.35">
      <c r="C169" t="s">
        <v>279</v>
      </c>
      <c r="D169" t="s">
        <v>229</v>
      </c>
      <c r="E169" t="s">
        <v>177</v>
      </c>
      <c r="F169" t="s">
        <v>178</v>
      </c>
      <c r="G169" t="s">
        <v>47</v>
      </c>
    </row>
    <row r="170" spans="3:7" x14ac:dyDescent="0.35">
      <c r="C170" t="s">
        <v>280</v>
      </c>
      <c r="D170" t="s">
        <v>229</v>
      </c>
      <c r="E170" t="s">
        <v>177</v>
      </c>
      <c r="F170" t="s">
        <v>178</v>
      </c>
      <c r="G170" t="s">
        <v>47</v>
      </c>
    </row>
    <row r="171" spans="3:7" x14ac:dyDescent="0.35">
      <c r="C171" t="s">
        <v>281</v>
      </c>
      <c r="D171" t="s">
        <v>229</v>
      </c>
      <c r="E171" t="s">
        <v>177</v>
      </c>
      <c r="F171" t="s">
        <v>178</v>
      </c>
      <c r="G171" t="s">
        <v>47</v>
      </c>
    </row>
    <row r="172" spans="3:7" x14ac:dyDescent="0.35">
      <c r="C172" t="s">
        <v>282</v>
      </c>
      <c r="D172" t="s">
        <v>229</v>
      </c>
      <c r="E172" t="s">
        <v>177</v>
      </c>
      <c r="F172" t="s">
        <v>178</v>
      </c>
      <c r="G172" t="s">
        <v>47</v>
      </c>
    </row>
    <row r="173" spans="3:7" x14ac:dyDescent="0.35">
      <c r="C173" t="s">
        <v>283</v>
      </c>
      <c r="D173" t="s">
        <v>229</v>
      </c>
      <c r="E173" t="s">
        <v>177</v>
      </c>
      <c r="F173" t="s">
        <v>178</v>
      </c>
      <c r="G173" t="s">
        <v>47</v>
      </c>
    </row>
    <row r="174" spans="3:7" x14ac:dyDescent="0.35">
      <c r="C174" t="s">
        <v>284</v>
      </c>
      <c r="D174" t="s">
        <v>229</v>
      </c>
      <c r="E174" t="s">
        <v>177</v>
      </c>
      <c r="F174" t="s">
        <v>178</v>
      </c>
      <c r="G174" t="s">
        <v>47</v>
      </c>
    </row>
    <row r="175" spans="3:7" x14ac:dyDescent="0.35">
      <c r="C175" t="s">
        <v>285</v>
      </c>
      <c r="D175" t="s">
        <v>229</v>
      </c>
      <c r="E175" t="s">
        <v>177</v>
      </c>
      <c r="F175" t="s">
        <v>178</v>
      </c>
      <c r="G175" t="s">
        <v>47</v>
      </c>
    </row>
    <row r="176" spans="3:7" x14ac:dyDescent="0.35">
      <c r="C176" t="s">
        <v>286</v>
      </c>
      <c r="D176" t="s">
        <v>229</v>
      </c>
      <c r="E176" t="s">
        <v>177</v>
      </c>
      <c r="F176" t="s">
        <v>178</v>
      </c>
      <c r="G176" t="s">
        <v>47</v>
      </c>
    </row>
    <row r="177" spans="3:17" x14ac:dyDescent="0.35">
      <c r="C177" t="s">
        <v>287</v>
      </c>
      <c r="D177" t="s">
        <v>229</v>
      </c>
      <c r="E177" t="s">
        <v>177</v>
      </c>
      <c r="F177" t="s">
        <v>178</v>
      </c>
      <c r="G177" t="s">
        <v>47</v>
      </c>
    </row>
    <row r="178" spans="3:17" x14ac:dyDescent="0.35">
      <c r="C178" t="s">
        <v>288</v>
      </c>
      <c r="D178" t="s">
        <v>181</v>
      </c>
      <c r="E178" t="s">
        <v>289</v>
      </c>
      <c r="F178" t="s">
        <v>290</v>
      </c>
      <c r="G178" t="s">
        <v>47</v>
      </c>
    </row>
    <row r="179" spans="3:17" x14ac:dyDescent="0.35">
      <c r="C179" t="s">
        <v>291</v>
      </c>
      <c r="D179" t="s">
        <v>181</v>
      </c>
      <c r="E179" t="s">
        <v>289</v>
      </c>
      <c r="F179" t="s">
        <v>290</v>
      </c>
      <c r="G179" t="s">
        <v>47</v>
      </c>
    </row>
    <row r="180" spans="3:17" x14ac:dyDescent="0.35">
      <c r="C180" t="s">
        <v>292</v>
      </c>
      <c r="D180" t="s">
        <v>181</v>
      </c>
      <c r="E180" t="s">
        <v>289</v>
      </c>
      <c r="F180" t="s">
        <v>290</v>
      </c>
      <c r="G180" t="s">
        <v>47</v>
      </c>
    </row>
    <row r="181" spans="3:17" x14ac:dyDescent="0.35">
      <c r="C181" t="s">
        <v>293</v>
      </c>
      <c r="D181" t="s">
        <v>181</v>
      </c>
      <c r="E181" t="s">
        <v>289</v>
      </c>
      <c r="F181" t="s">
        <v>290</v>
      </c>
      <c r="G181" t="s">
        <v>47</v>
      </c>
    </row>
    <row r="182" spans="3:17" x14ac:dyDescent="0.35">
      <c r="C182" t="s">
        <v>294</v>
      </c>
      <c r="D182" t="s">
        <v>295</v>
      </c>
      <c r="E182" t="s">
        <v>296</v>
      </c>
      <c r="F182" t="s">
        <v>297</v>
      </c>
      <c r="G182" t="s">
        <v>298</v>
      </c>
    </row>
    <row r="183" spans="3:17" x14ac:dyDescent="0.35">
      <c r="C183" t="s">
        <v>299</v>
      </c>
      <c r="D183" t="s">
        <v>300</v>
      </c>
      <c r="E183" t="s">
        <v>301</v>
      </c>
      <c r="F183" t="s">
        <v>302</v>
      </c>
      <c r="G183" t="s">
        <v>303</v>
      </c>
    </row>
    <row r="184" spans="3:17" x14ac:dyDescent="0.35">
      <c r="C184" t="s">
        <v>304</v>
      </c>
      <c r="D184" t="s">
        <v>305</v>
      </c>
      <c r="E184" t="s">
        <v>306</v>
      </c>
      <c r="F184" t="s">
        <v>307</v>
      </c>
      <c r="G184" t="s">
        <v>308</v>
      </c>
    </row>
    <row r="185" spans="3:17" x14ac:dyDescent="0.35">
      <c r="C185" t="s">
        <v>309</v>
      </c>
      <c r="D185" t="s">
        <v>310</v>
      </c>
      <c r="E185" t="s">
        <v>311</v>
      </c>
      <c r="F185" t="s">
        <v>152</v>
      </c>
      <c r="G185" t="s">
        <v>312</v>
      </c>
    </row>
    <row r="186" spans="3:17" x14ac:dyDescent="0.35">
      <c r="C186" t="s">
        <v>313</v>
      </c>
      <c r="D186" t="s">
        <v>314</v>
      </c>
      <c r="E186" t="s">
        <v>315</v>
      </c>
      <c r="F186" t="s">
        <v>315</v>
      </c>
      <c r="G186" t="s">
        <v>316</v>
      </c>
    </row>
    <row r="187" spans="3:17" x14ac:dyDescent="0.35">
      <c r="C187" t="s">
        <v>317</v>
      </c>
      <c r="D187" t="s">
        <v>318</v>
      </c>
      <c r="E187" t="s">
        <v>319</v>
      </c>
      <c r="F187" t="s">
        <v>320</v>
      </c>
      <c r="G187" t="s">
        <v>321</v>
      </c>
    </row>
    <row r="188" spans="3:17" x14ac:dyDescent="0.35">
      <c r="C188" t="s">
        <v>322</v>
      </c>
      <c r="D188" t="s">
        <v>323</v>
      </c>
      <c r="E188" t="s">
        <v>324</v>
      </c>
      <c r="F188" t="s">
        <v>325</v>
      </c>
      <c r="G188" t="s">
        <v>326</v>
      </c>
    </row>
    <row r="189" spans="3:17" x14ac:dyDescent="0.35">
      <c r="C189" t="s">
        <v>327</v>
      </c>
      <c r="D189" t="s">
        <v>328</v>
      </c>
      <c r="E189" t="s">
        <v>329</v>
      </c>
      <c r="F189" t="s">
        <v>330</v>
      </c>
      <c r="G189" t="s">
        <v>331</v>
      </c>
      <c r="H189" t="s">
        <v>332</v>
      </c>
      <c r="I189" t="s">
        <v>331</v>
      </c>
      <c r="J189" t="s">
        <v>333</v>
      </c>
      <c r="K189" t="s">
        <v>334</v>
      </c>
      <c r="L189" t="s">
        <v>335</v>
      </c>
      <c r="M189" t="s">
        <v>336</v>
      </c>
      <c r="N189" t="s">
        <v>337</v>
      </c>
      <c r="O189" t="s">
        <v>338</v>
      </c>
      <c r="Q189" t="s">
        <v>339</v>
      </c>
    </row>
    <row r="190" spans="3:17" x14ac:dyDescent="0.35">
      <c r="C190" t="s">
        <v>340</v>
      </c>
      <c r="D190" t="s">
        <v>341</v>
      </c>
      <c r="E190" t="s">
        <v>342</v>
      </c>
      <c r="F190" t="s">
        <v>343</v>
      </c>
      <c r="G190" t="s">
        <v>344</v>
      </c>
    </row>
    <row r="191" spans="3:17" x14ac:dyDescent="0.35">
      <c r="C191" t="s">
        <v>345</v>
      </c>
      <c r="D191" t="s">
        <v>346</v>
      </c>
      <c r="E191" t="s">
        <v>347</v>
      </c>
      <c r="F191" t="s">
        <v>348</v>
      </c>
      <c r="G191" t="s">
        <v>349</v>
      </c>
    </row>
    <row r="192" spans="3:17" x14ac:dyDescent="0.35">
      <c r="C192" t="s">
        <v>350</v>
      </c>
      <c r="D192" t="s">
        <v>346</v>
      </c>
      <c r="E192" t="s">
        <v>347</v>
      </c>
      <c r="F192" t="s">
        <v>348</v>
      </c>
      <c r="G192" t="s">
        <v>349</v>
      </c>
    </row>
    <row r="196" spans="1:19" x14ac:dyDescent="0.35">
      <c r="A196" t="s">
        <v>351</v>
      </c>
    </row>
    <row r="198" spans="1:19" x14ac:dyDescent="0.35">
      <c r="A198" t="s">
        <v>9</v>
      </c>
      <c r="B198" t="s">
        <v>10</v>
      </c>
      <c r="C198" t="s">
        <v>11</v>
      </c>
      <c r="D198" t="s">
        <v>12</v>
      </c>
      <c r="E198" t="s">
        <v>13</v>
      </c>
      <c r="F198" t="s">
        <v>14</v>
      </c>
      <c r="G198" t="s">
        <v>15</v>
      </c>
      <c r="H198" t="s">
        <v>16</v>
      </c>
      <c r="I198" t="s">
        <v>17</v>
      </c>
      <c r="J198" t="s">
        <v>18</v>
      </c>
      <c r="K198" t="s">
        <v>19</v>
      </c>
      <c r="L198" t="s">
        <v>20</v>
      </c>
      <c r="M198" t="s">
        <v>21</v>
      </c>
      <c r="N198" t="s">
        <v>22</v>
      </c>
      <c r="O198" t="s">
        <v>23</v>
      </c>
      <c r="P198" t="s">
        <v>24</v>
      </c>
      <c r="Q198" t="s">
        <v>25</v>
      </c>
      <c r="R198" t="s">
        <v>26</v>
      </c>
      <c r="S198" t="s">
        <v>27</v>
      </c>
    </row>
    <row r="199" spans="1:19" x14ac:dyDescent="0.35">
      <c r="A199">
        <v>1</v>
      </c>
      <c r="B199">
        <v>1</v>
      </c>
      <c r="C199" t="s">
        <v>28</v>
      </c>
      <c r="D199" t="s">
        <v>29</v>
      </c>
      <c r="E199" t="s">
        <v>30</v>
      </c>
      <c r="F199" t="s">
        <v>31</v>
      </c>
      <c r="G199" t="s">
        <v>32</v>
      </c>
      <c r="O199" t="s">
        <v>33</v>
      </c>
      <c r="P199" t="s">
        <v>34</v>
      </c>
      <c r="R199" t="s">
        <v>35</v>
      </c>
      <c r="S199" t="s">
        <v>36</v>
      </c>
    </row>
    <row r="200" spans="1:19" x14ac:dyDescent="0.35">
      <c r="A200">
        <v>2</v>
      </c>
      <c r="B200">
        <v>1</v>
      </c>
      <c r="C200" t="s">
        <v>37</v>
      </c>
      <c r="D200" t="s">
        <v>38</v>
      </c>
      <c r="E200" t="s">
        <v>30</v>
      </c>
      <c r="F200" t="s">
        <v>31</v>
      </c>
      <c r="G200" t="s">
        <v>32</v>
      </c>
      <c r="O200" t="s">
        <v>33</v>
      </c>
      <c r="P200" t="s">
        <v>34</v>
      </c>
      <c r="R200" t="s">
        <v>35</v>
      </c>
      <c r="S200" t="s">
        <v>36</v>
      </c>
    </row>
    <row r="201" spans="1:19" x14ac:dyDescent="0.35">
      <c r="A201">
        <v>3</v>
      </c>
      <c r="B201">
        <v>1</v>
      </c>
      <c r="C201" t="s">
        <v>39</v>
      </c>
      <c r="D201" t="s">
        <v>40</v>
      </c>
      <c r="E201" t="s">
        <v>30</v>
      </c>
      <c r="F201" t="s">
        <v>31</v>
      </c>
      <c r="G201" t="s">
        <v>32</v>
      </c>
      <c r="O201" t="s">
        <v>33</v>
      </c>
      <c r="P201" t="s">
        <v>34</v>
      </c>
      <c r="R201" t="s">
        <v>35</v>
      </c>
      <c r="S201" t="s">
        <v>36</v>
      </c>
    </row>
    <row r="202" spans="1:19" x14ac:dyDescent="0.35">
      <c r="A202">
        <v>4</v>
      </c>
      <c r="B202">
        <v>1</v>
      </c>
      <c r="C202" t="s">
        <v>41</v>
      </c>
      <c r="D202" t="s">
        <v>42</v>
      </c>
      <c r="E202" t="s">
        <v>30</v>
      </c>
      <c r="F202" t="s">
        <v>31</v>
      </c>
      <c r="G202" t="s">
        <v>32</v>
      </c>
      <c r="O202" t="s">
        <v>33</v>
      </c>
      <c r="P202" t="s">
        <v>34</v>
      </c>
      <c r="R202" t="s">
        <v>35</v>
      </c>
      <c r="S202" t="s">
        <v>36</v>
      </c>
    </row>
    <row r="203" spans="1:19" x14ac:dyDescent="0.35">
      <c r="A203">
        <v>5</v>
      </c>
      <c r="B203">
        <v>10</v>
      </c>
      <c r="C203" t="s">
        <v>352</v>
      </c>
      <c r="D203" t="s">
        <v>44</v>
      </c>
      <c r="E203" t="s">
        <v>45</v>
      </c>
      <c r="F203" t="s">
        <v>46</v>
      </c>
      <c r="G203" t="s">
        <v>47</v>
      </c>
    </row>
    <row r="204" spans="1:19" x14ac:dyDescent="0.35">
      <c r="A204">
        <v>6</v>
      </c>
      <c r="B204">
        <v>1</v>
      </c>
      <c r="C204" t="s">
        <v>48</v>
      </c>
      <c r="D204" t="s">
        <v>49</v>
      </c>
      <c r="E204" t="s">
        <v>45</v>
      </c>
      <c r="F204" t="s">
        <v>46</v>
      </c>
      <c r="G204" t="s">
        <v>47</v>
      </c>
    </row>
    <row r="205" spans="1:19" x14ac:dyDescent="0.35">
      <c r="A205">
        <v>7</v>
      </c>
      <c r="B205">
        <v>1</v>
      </c>
      <c r="C205" t="s">
        <v>52</v>
      </c>
      <c r="D205" t="s">
        <v>53</v>
      </c>
      <c r="E205" t="s">
        <v>45</v>
      </c>
      <c r="F205" t="s">
        <v>46</v>
      </c>
      <c r="G205" t="s">
        <v>47</v>
      </c>
    </row>
    <row r="206" spans="1:19" x14ac:dyDescent="0.35">
      <c r="A206">
        <v>8</v>
      </c>
      <c r="B206">
        <v>2</v>
      </c>
      <c r="C206" t="s">
        <v>353</v>
      </c>
      <c r="D206" t="s">
        <v>55</v>
      </c>
      <c r="E206" t="s">
        <v>45</v>
      </c>
      <c r="F206" t="s">
        <v>46</v>
      </c>
      <c r="G206" t="s">
        <v>47</v>
      </c>
    </row>
    <row r="207" spans="1:19" x14ac:dyDescent="0.35">
      <c r="A207">
        <v>9</v>
      </c>
      <c r="B207">
        <v>12</v>
      </c>
      <c r="C207" t="s">
        <v>354</v>
      </c>
      <c r="D207" t="s">
        <v>65</v>
      </c>
      <c r="E207" t="s">
        <v>66</v>
      </c>
      <c r="F207" t="s">
        <v>46</v>
      </c>
      <c r="G207" t="s">
        <v>47</v>
      </c>
    </row>
    <row r="208" spans="1:19" x14ac:dyDescent="0.35">
      <c r="A208">
        <v>10</v>
      </c>
      <c r="B208">
        <v>1</v>
      </c>
      <c r="C208" t="s">
        <v>78</v>
      </c>
      <c r="D208" t="s">
        <v>79</v>
      </c>
      <c r="E208" t="s">
        <v>45</v>
      </c>
      <c r="F208" t="s">
        <v>80</v>
      </c>
      <c r="G208" t="s">
        <v>47</v>
      </c>
    </row>
    <row r="209" spans="1:7" x14ac:dyDescent="0.35">
      <c r="A209">
        <v>11</v>
      </c>
      <c r="B209">
        <v>1</v>
      </c>
      <c r="C209" t="s">
        <v>81</v>
      </c>
      <c r="D209" t="s">
        <v>82</v>
      </c>
      <c r="E209" t="s">
        <v>45</v>
      </c>
      <c r="F209" t="s">
        <v>80</v>
      </c>
      <c r="G209" t="s">
        <v>47</v>
      </c>
    </row>
    <row r="210" spans="1:7" x14ac:dyDescent="0.35">
      <c r="A210">
        <v>12</v>
      </c>
      <c r="B210">
        <v>15</v>
      </c>
      <c r="C210" t="s">
        <v>355</v>
      </c>
      <c r="D210" t="s">
        <v>84</v>
      </c>
      <c r="E210" t="s">
        <v>85</v>
      </c>
      <c r="F210" t="s">
        <v>86</v>
      </c>
      <c r="G210" t="s">
        <v>47</v>
      </c>
    </row>
    <row r="211" spans="1:7" x14ac:dyDescent="0.35">
      <c r="A211">
        <v>13</v>
      </c>
      <c r="B211">
        <v>1</v>
      </c>
      <c r="C211" t="s">
        <v>89</v>
      </c>
      <c r="D211" t="s">
        <v>90</v>
      </c>
      <c r="E211" t="s">
        <v>91</v>
      </c>
      <c r="F211" t="s">
        <v>92</v>
      </c>
      <c r="G211" t="s">
        <v>93</v>
      </c>
    </row>
    <row r="212" spans="1:7" x14ac:dyDescent="0.35">
      <c r="A212">
        <v>14</v>
      </c>
      <c r="B212">
        <v>4</v>
      </c>
      <c r="C212" t="s">
        <v>356</v>
      </c>
      <c r="D212" t="s">
        <v>95</v>
      </c>
      <c r="E212" t="s">
        <v>96</v>
      </c>
      <c r="F212" t="s">
        <v>97</v>
      </c>
      <c r="G212" t="s">
        <v>47</v>
      </c>
    </row>
    <row r="213" spans="1:7" x14ac:dyDescent="0.35">
      <c r="A213">
        <v>15</v>
      </c>
      <c r="B213">
        <v>1</v>
      </c>
      <c r="C213" t="s">
        <v>113</v>
      </c>
      <c r="D213" t="s">
        <v>114</v>
      </c>
      <c r="E213" t="s">
        <v>115</v>
      </c>
      <c r="F213" t="s">
        <v>116</v>
      </c>
      <c r="G213" t="s">
        <v>47</v>
      </c>
    </row>
    <row r="214" spans="1:7" x14ac:dyDescent="0.35">
      <c r="A214">
        <v>16</v>
      </c>
      <c r="B214">
        <v>4</v>
      </c>
      <c r="C214" t="s">
        <v>357</v>
      </c>
      <c r="D214" t="s">
        <v>118</v>
      </c>
      <c r="E214" t="s">
        <v>119</v>
      </c>
      <c r="F214" t="s">
        <v>120</v>
      </c>
      <c r="G214" t="s">
        <v>47</v>
      </c>
    </row>
    <row r="215" spans="1:7" x14ac:dyDescent="0.35">
      <c r="A215">
        <v>17</v>
      </c>
      <c r="B215">
        <v>1</v>
      </c>
      <c r="C215" t="s">
        <v>124</v>
      </c>
      <c r="D215" t="s">
        <v>125</v>
      </c>
      <c r="E215" t="s">
        <v>126</v>
      </c>
      <c r="F215" t="s">
        <v>127</v>
      </c>
      <c r="G215" t="s">
        <v>47</v>
      </c>
    </row>
    <row r="216" spans="1:7" x14ac:dyDescent="0.35">
      <c r="A216">
        <v>18</v>
      </c>
      <c r="B216">
        <v>1</v>
      </c>
      <c r="C216" t="s">
        <v>128</v>
      </c>
      <c r="D216" t="s">
        <v>129</v>
      </c>
      <c r="E216" t="s">
        <v>130</v>
      </c>
      <c r="F216" t="s">
        <v>131</v>
      </c>
      <c r="G216" t="s">
        <v>47</v>
      </c>
    </row>
    <row r="217" spans="1:7" x14ac:dyDescent="0.35">
      <c r="A217">
        <v>19</v>
      </c>
      <c r="B217">
        <v>2</v>
      </c>
      <c r="C217" t="s">
        <v>358</v>
      </c>
      <c r="D217" t="s">
        <v>133</v>
      </c>
      <c r="E217" t="s">
        <v>134</v>
      </c>
      <c r="F217" t="s">
        <v>135</v>
      </c>
      <c r="G217" t="s">
        <v>47</v>
      </c>
    </row>
    <row r="218" spans="1:7" x14ac:dyDescent="0.35">
      <c r="A218">
        <v>20</v>
      </c>
      <c r="B218">
        <v>1</v>
      </c>
      <c r="C218" t="s">
        <v>136</v>
      </c>
      <c r="D218" t="s">
        <v>133</v>
      </c>
      <c r="E218" t="s">
        <v>134</v>
      </c>
      <c r="F218" t="s">
        <v>137</v>
      </c>
      <c r="G218" t="s">
        <v>47</v>
      </c>
    </row>
    <row r="219" spans="1:7" x14ac:dyDescent="0.35">
      <c r="A219">
        <v>21</v>
      </c>
      <c r="B219">
        <v>3</v>
      </c>
      <c r="C219" t="s">
        <v>359</v>
      </c>
      <c r="D219" t="s">
        <v>139</v>
      </c>
      <c r="E219" t="s">
        <v>140</v>
      </c>
      <c r="F219" t="s">
        <v>141</v>
      </c>
      <c r="G219" t="s">
        <v>47</v>
      </c>
    </row>
    <row r="220" spans="1:7" x14ac:dyDescent="0.35">
      <c r="A220">
        <v>22</v>
      </c>
      <c r="B220">
        <v>1</v>
      </c>
      <c r="C220" t="s">
        <v>145</v>
      </c>
      <c r="D220" t="s">
        <v>146</v>
      </c>
      <c r="E220" t="s">
        <v>147</v>
      </c>
      <c r="F220" t="s">
        <v>148</v>
      </c>
      <c r="G220" t="s">
        <v>47</v>
      </c>
    </row>
    <row r="221" spans="1:7" x14ac:dyDescent="0.35">
      <c r="A221">
        <v>23</v>
      </c>
      <c r="B221">
        <v>2</v>
      </c>
      <c r="C221" t="s">
        <v>360</v>
      </c>
      <c r="D221" t="s">
        <v>150</v>
      </c>
      <c r="E221" t="s">
        <v>151</v>
      </c>
      <c r="F221" t="s">
        <v>152</v>
      </c>
      <c r="G221" t="s">
        <v>153</v>
      </c>
    </row>
    <row r="222" spans="1:7" x14ac:dyDescent="0.35">
      <c r="A222">
        <v>24</v>
      </c>
      <c r="B222">
        <v>1</v>
      </c>
      <c r="C222" t="s">
        <v>155</v>
      </c>
      <c r="D222" t="s">
        <v>156</v>
      </c>
      <c r="E222" t="s">
        <v>157</v>
      </c>
      <c r="F222" t="s">
        <v>158</v>
      </c>
      <c r="G222" t="s">
        <v>159</v>
      </c>
    </row>
    <row r="223" spans="1:7" x14ac:dyDescent="0.35">
      <c r="A223">
        <v>25</v>
      </c>
      <c r="B223">
        <v>12</v>
      </c>
      <c r="C223" t="s">
        <v>361</v>
      </c>
      <c r="D223" t="s">
        <v>161</v>
      </c>
      <c r="E223" t="s">
        <v>162</v>
      </c>
      <c r="F223" t="s">
        <v>158</v>
      </c>
      <c r="G223" t="s">
        <v>163</v>
      </c>
    </row>
    <row r="224" spans="1:7" x14ac:dyDescent="0.35">
      <c r="A224">
        <v>26</v>
      </c>
      <c r="B224">
        <v>4</v>
      </c>
      <c r="C224" t="s">
        <v>362</v>
      </c>
      <c r="D224" t="s">
        <v>176</v>
      </c>
      <c r="E224" t="s">
        <v>177</v>
      </c>
      <c r="F224" t="s">
        <v>178</v>
      </c>
      <c r="G224" t="s">
        <v>47</v>
      </c>
    </row>
    <row r="225" spans="1:7" x14ac:dyDescent="0.35">
      <c r="A225">
        <v>27</v>
      </c>
      <c r="B225">
        <v>2</v>
      </c>
      <c r="C225" t="s">
        <v>363</v>
      </c>
      <c r="D225" t="s">
        <v>181</v>
      </c>
      <c r="E225" t="s">
        <v>177</v>
      </c>
      <c r="F225" t="s">
        <v>178</v>
      </c>
      <c r="G225" t="s">
        <v>47</v>
      </c>
    </row>
    <row r="226" spans="1:7" x14ac:dyDescent="0.35">
      <c r="A226">
        <v>28</v>
      </c>
      <c r="B226">
        <v>1</v>
      </c>
      <c r="C226" t="s">
        <v>185</v>
      </c>
      <c r="D226" t="s">
        <v>186</v>
      </c>
      <c r="E226" t="s">
        <v>177</v>
      </c>
      <c r="F226" t="s">
        <v>187</v>
      </c>
      <c r="G226" t="s">
        <v>47</v>
      </c>
    </row>
    <row r="227" spans="1:7" x14ac:dyDescent="0.35">
      <c r="A227">
        <v>29</v>
      </c>
      <c r="B227">
        <v>1</v>
      </c>
      <c r="C227" t="s">
        <v>188</v>
      </c>
      <c r="D227" t="s">
        <v>189</v>
      </c>
      <c r="E227" t="s">
        <v>177</v>
      </c>
      <c r="F227" t="s">
        <v>178</v>
      </c>
      <c r="G227" t="s">
        <v>47</v>
      </c>
    </row>
    <row r="228" spans="1:7" x14ac:dyDescent="0.35">
      <c r="A228">
        <v>30</v>
      </c>
      <c r="B228">
        <v>6</v>
      </c>
      <c r="C228" t="s">
        <v>364</v>
      </c>
      <c r="D228" t="s">
        <v>191</v>
      </c>
      <c r="E228" t="s">
        <v>192</v>
      </c>
      <c r="F228" t="s">
        <v>178</v>
      </c>
      <c r="G228" t="s">
        <v>47</v>
      </c>
    </row>
    <row r="229" spans="1:7" x14ac:dyDescent="0.35">
      <c r="A229">
        <v>31</v>
      </c>
      <c r="B229">
        <v>1</v>
      </c>
      <c r="C229" t="s">
        <v>193</v>
      </c>
      <c r="D229" t="s">
        <v>194</v>
      </c>
      <c r="E229" t="s">
        <v>177</v>
      </c>
      <c r="F229" t="s">
        <v>178</v>
      </c>
      <c r="G229" t="s">
        <v>47</v>
      </c>
    </row>
    <row r="230" spans="1:7" x14ac:dyDescent="0.35">
      <c r="A230">
        <v>32</v>
      </c>
      <c r="B230">
        <v>15</v>
      </c>
      <c r="C230" t="s">
        <v>365</v>
      </c>
      <c r="D230" t="s">
        <v>196</v>
      </c>
      <c r="E230" t="s">
        <v>177</v>
      </c>
      <c r="F230" t="s">
        <v>178</v>
      </c>
      <c r="G230" t="s">
        <v>47</v>
      </c>
    </row>
    <row r="231" spans="1:7" x14ac:dyDescent="0.35">
      <c r="A231">
        <v>33</v>
      </c>
      <c r="B231">
        <v>2</v>
      </c>
      <c r="C231" t="s">
        <v>366</v>
      </c>
      <c r="D231" t="s">
        <v>217</v>
      </c>
      <c r="E231" t="s">
        <v>177</v>
      </c>
      <c r="F231" t="s">
        <v>178</v>
      </c>
      <c r="G231" t="s">
        <v>47</v>
      </c>
    </row>
    <row r="232" spans="1:7" x14ac:dyDescent="0.35">
      <c r="A232">
        <v>34</v>
      </c>
      <c r="B232">
        <v>1</v>
      </c>
      <c r="C232" t="s">
        <v>218</v>
      </c>
      <c r="D232" t="s">
        <v>219</v>
      </c>
      <c r="E232" t="s">
        <v>177</v>
      </c>
      <c r="F232" t="s">
        <v>178</v>
      </c>
      <c r="G232" t="s">
        <v>47</v>
      </c>
    </row>
    <row r="233" spans="1:7" x14ac:dyDescent="0.35">
      <c r="A233">
        <v>35</v>
      </c>
      <c r="B233">
        <v>2</v>
      </c>
      <c r="C233" t="s">
        <v>367</v>
      </c>
      <c r="D233" t="s">
        <v>221</v>
      </c>
      <c r="E233" t="s">
        <v>177</v>
      </c>
      <c r="F233" t="s">
        <v>178</v>
      </c>
      <c r="G233" t="s">
        <v>47</v>
      </c>
    </row>
    <row r="234" spans="1:7" x14ac:dyDescent="0.35">
      <c r="A234">
        <v>36</v>
      </c>
      <c r="B234">
        <v>4</v>
      </c>
      <c r="C234" t="s">
        <v>368</v>
      </c>
      <c r="D234" t="s">
        <v>223</v>
      </c>
      <c r="E234" t="s">
        <v>177</v>
      </c>
      <c r="F234" t="s">
        <v>178</v>
      </c>
      <c r="G234" t="s">
        <v>47</v>
      </c>
    </row>
    <row r="235" spans="1:7" x14ac:dyDescent="0.35">
      <c r="A235">
        <v>37</v>
      </c>
      <c r="B235">
        <v>3</v>
      </c>
      <c r="C235" t="s">
        <v>369</v>
      </c>
      <c r="D235" t="s">
        <v>226</v>
      </c>
      <c r="E235" t="s">
        <v>177</v>
      </c>
      <c r="F235" t="s">
        <v>178</v>
      </c>
      <c r="G235" t="s">
        <v>47</v>
      </c>
    </row>
    <row r="236" spans="1:7" x14ac:dyDescent="0.35">
      <c r="A236">
        <v>38</v>
      </c>
      <c r="B236">
        <v>16</v>
      </c>
      <c r="C236" t="s">
        <v>370</v>
      </c>
      <c r="D236" t="s">
        <v>229</v>
      </c>
      <c r="E236" t="s">
        <v>177</v>
      </c>
      <c r="F236" t="s">
        <v>178</v>
      </c>
      <c r="G236" t="s">
        <v>47</v>
      </c>
    </row>
    <row r="237" spans="1:7" x14ac:dyDescent="0.35">
      <c r="A237">
        <v>39</v>
      </c>
      <c r="B237">
        <v>2</v>
      </c>
      <c r="C237" t="s">
        <v>371</v>
      </c>
      <c r="D237" t="s">
        <v>234</v>
      </c>
      <c r="E237" t="s">
        <v>177</v>
      </c>
      <c r="F237" t="s">
        <v>178</v>
      </c>
      <c r="G237" t="s">
        <v>47</v>
      </c>
    </row>
    <row r="238" spans="1:7" x14ac:dyDescent="0.35">
      <c r="A238">
        <v>40</v>
      </c>
      <c r="B238">
        <v>1</v>
      </c>
      <c r="C238" t="s">
        <v>235</v>
      </c>
      <c r="D238" t="s">
        <v>236</v>
      </c>
      <c r="E238" t="s">
        <v>177</v>
      </c>
      <c r="F238" t="s">
        <v>178</v>
      </c>
      <c r="G238" t="s">
        <v>47</v>
      </c>
    </row>
    <row r="239" spans="1:7" x14ac:dyDescent="0.35">
      <c r="A239">
        <v>41</v>
      </c>
      <c r="B239">
        <v>1</v>
      </c>
      <c r="C239" t="s">
        <v>243</v>
      </c>
      <c r="D239" t="s">
        <v>244</v>
      </c>
      <c r="E239" t="s">
        <v>177</v>
      </c>
      <c r="F239" t="s">
        <v>178</v>
      </c>
      <c r="G239" t="s">
        <v>47</v>
      </c>
    </row>
    <row r="240" spans="1:7" x14ac:dyDescent="0.35">
      <c r="A240">
        <v>42</v>
      </c>
      <c r="B240">
        <v>2</v>
      </c>
      <c r="C240" t="s">
        <v>372</v>
      </c>
      <c r="D240" t="s">
        <v>246</v>
      </c>
      <c r="E240" t="s">
        <v>177</v>
      </c>
      <c r="F240" t="s">
        <v>178</v>
      </c>
      <c r="G240" t="s">
        <v>47</v>
      </c>
    </row>
    <row r="241" spans="1:17" x14ac:dyDescent="0.35">
      <c r="A241">
        <v>43</v>
      </c>
      <c r="B241">
        <v>3</v>
      </c>
      <c r="C241" t="s">
        <v>373</v>
      </c>
      <c r="D241" t="s">
        <v>248</v>
      </c>
      <c r="E241" t="s">
        <v>177</v>
      </c>
      <c r="F241" t="s">
        <v>178</v>
      </c>
      <c r="G241" t="s">
        <v>47</v>
      </c>
    </row>
    <row r="242" spans="1:17" x14ac:dyDescent="0.35">
      <c r="A242">
        <v>44</v>
      </c>
      <c r="B242">
        <v>2</v>
      </c>
      <c r="C242" t="s">
        <v>374</v>
      </c>
      <c r="D242" t="s">
        <v>253</v>
      </c>
      <c r="E242" t="s">
        <v>177</v>
      </c>
      <c r="F242" t="s">
        <v>178</v>
      </c>
      <c r="G242" t="s">
        <v>47</v>
      </c>
    </row>
    <row r="243" spans="1:17" x14ac:dyDescent="0.35">
      <c r="A243">
        <v>45</v>
      </c>
      <c r="B243">
        <v>1</v>
      </c>
      <c r="C243" t="s">
        <v>255</v>
      </c>
      <c r="D243" t="s">
        <v>256</v>
      </c>
      <c r="E243" t="s">
        <v>177</v>
      </c>
      <c r="F243" t="s">
        <v>178</v>
      </c>
      <c r="G243" t="s">
        <v>47</v>
      </c>
    </row>
    <row r="244" spans="1:17" x14ac:dyDescent="0.35">
      <c r="A244">
        <v>46</v>
      </c>
      <c r="B244">
        <v>1</v>
      </c>
      <c r="C244" t="s">
        <v>257</v>
      </c>
      <c r="D244" t="s">
        <v>258</v>
      </c>
      <c r="E244" t="s">
        <v>177</v>
      </c>
      <c r="F244" t="s">
        <v>178</v>
      </c>
      <c r="G244" t="s">
        <v>47</v>
      </c>
    </row>
    <row r="245" spans="1:17" x14ac:dyDescent="0.35">
      <c r="A245">
        <v>47</v>
      </c>
      <c r="B245">
        <v>12</v>
      </c>
      <c r="C245" t="s">
        <v>375</v>
      </c>
      <c r="D245" t="s">
        <v>260</v>
      </c>
      <c r="E245" t="s">
        <v>177</v>
      </c>
      <c r="F245" t="s">
        <v>178</v>
      </c>
      <c r="G245" t="s">
        <v>47</v>
      </c>
    </row>
    <row r="246" spans="1:17" x14ac:dyDescent="0.35">
      <c r="A246">
        <v>48</v>
      </c>
      <c r="B246">
        <v>4</v>
      </c>
      <c r="C246" t="s">
        <v>376</v>
      </c>
      <c r="D246" t="s">
        <v>191</v>
      </c>
      <c r="E246" t="s">
        <v>177</v>
      </c>
      <c r="F246" t="s">
        <v>178</v>
      </c>
      <c r="G246" t="s">
        <v>47</v>
      </c>
    </row>
    <row r="247" spans="1:17" x14ac:dyDescent="0.35">
      <c r="A247">
        <v>49</v>
      </c>
      <c r="B247">
        <v>4</v>
      </c>
      <c r="C247" t="s">
        <v>377</v>
      </c>
      <c r="D247" t="s">
        <v>181</v>
      </c>
      <c r="E247" t="s">
        <v>289</v>
      </c>
      <c r="F247" t="s">
        <v>290</v>
      </c>
      <c r="G247" t="s">
        <v>47</v>
      </c>
    </row>
    <row r="248" spans="1:17" x14ac:dyDescent="0.35">
      <c r="A248">
        <v>50</v>
      </c>
      <c r="B248">
        <v>1</v>
      </c>
      <c r="C248" t="s">
        <v>294</v>
      </c>
      <c r="D248" t="s">
        <v>295</v>
      </c>
      <c r="E248" t="s">
        <v>296</v>
      </c>
      <c r="F248" t="s">
        <v>297</v>
      </c>
      <c r="G248" t="s">
        <v>298</v>
      </c>
    </row>
    <row r="249" spans="1:17" x14ac:dyDescent="0.35">
      <c r="A249">
        <v>51</v>
      </c>
      <c r="B249">
        <v>1</v>
      </c>
      <c r="C249" t="s">
        <v>299</v>
      </c>
      <c r="D249" t="s">
        <v>300</v>
      </c>
      <c r="E249" t="s">
        <v>301</v>
      </c>
      <c r="F249" t="s">
        <v>302</v>
      </c>
      <c r="G249" t="s">
        <v>303</v>
      </c>
    </row>
    <row r="250" spans="1:17" x14ac:dyDescent="0.35">
      <c r="A250">
        <v>52</v>
      </c>
      <c r="B250">
        <v>1</v>
      </c>
      <c r="C250" t="s">
        <v>304</v>
      </c>
      <c r="D250" t="s">
        <v>305</v>
      </c>
      <c r="E250" t="s">
        <v>306</v>
      </c>
      <c r="F250" t="s">
        <v>307</v>
      </c>
      <c r="G250" t="s">
        <v>308</v>
      </c>
    </row>
    <row r="251" spans="1:17" x14ac:dyDescent="0.35">
      <c r="A251">
        <v>53</v>
      </c>
      <c r="B251">
        <v>1</v>
      </c>
      <c r="C251" t="s">
        <v>309</v>
      </c>
      <c r="D251" t="s">
        <v>310</v>
      </c>
      <c r="E251" t="s">
        <v>311</v>
      </c>
      <c r="F251" t="s">
        <v>152</v>
      </c>
      <c r="G251" t="s">
        <v>312</v>
      </c>
    </row>
    <row r="252" spans="1:17" x14ac:dyDescent="0.35">
      <c r="A252">
        <v>54</v>
      </c>
      <c r="B252">
        <v>1</v>
      </c>
      <c r="C252" t="s">
        <v>313</v>
      </c>
      <c r="D252" t="s">
        <v>314</v>
      </c>
      <c r="E252" t="s">
        <v>315</v>
      </c>
      <c r="F252" t="s">
        <v>315</v>
      </c>
      <c r="G252" t="s">
        <v>316</v>
      </c>
    </row>
    <row r="253" spans="1:17" x14ac:dyDescent="0.35">
      <c r="A253">
        <v>55</v>
      </c>
      <c r="B253">
        <v>1</v>
      </c>
      <c r="C253" t="s">
        <v>317</v>
      </c>
      <c r="D253" t="s">
        <v>318</v>
      </c>
      <c r="E253" t="s">
        <v>319</v>
      </c>
      <c r="F253" t="s">
        <v>320</v>
      </c>
      <c r="G253" t="s">
        <v>321</v>
      </c>
    </row>
    <row r="254" spans="1:17" x14ac:dyDescent="0.35">
      <c r="A254">
        <v>56</v>
      </c>
      <c r="B254">
        <v>1</v>
      </c>
      <c r="C254" t="s">
        <v>322</v>
      </c>
      <c r="D254" t="s">
        <v>323</v>
      </c>
      <c r="E254" t="s">
        <v>324</v>
      </c>
      <c r="F254" t="s">
        <v>325</v>
      </c>
      <c r="G254" t="s">
        <v>326</v>
      </c>
    </row>
    <row r="255" spans="1:17" x14ac:dyDescent="0.35">
      <c r="A255">
        <v>57</v>
      </c>
      <c r="B255">
        <v>1</v>
      </c>
      <c r="C255" t="s">
        <v>327</v>
      </c>
      <c r="D255" t="s">
        <v>328</v>
      </c>
      <c r="E255" t="s">
        <v>329</v>
      </c>
      <c r="F255" t="s">
        <v>330</v>
      </c>
      <c r="G255" t="s">
        <v>331</v>
      </c>
      <c r="H255" t="s">
        <v>332</v>
      </c>
      <c r="I255" t="s">
        <v>331</v>
      </c>
      <c r="J255" t="s">
        <v>333</v>
      </c>
      <c r="K255" t="s">
        <v>334</v>
      </c>
      <c r="L255" t="s">
        <v>335</v>
      </c>
      <c r="M255" t="s">
        <v>336</v>
      </c>
      <c r="N255" t="s">
        <v>337</v>
      </c>
      <c r="O255" t="s">
        <v>338</v>
      </c>
      <c r="Q255" t="s">
        <v>339</v>
      </c>
    </row>
    <row r="256" spans="1:17" x14ac:dyDescent="0.35">
      <c r="A256">
        <v>58</v>
      </c>
      <c r="B256">
        <v>1</v>
      </c>
      <c r="C256" t="s">
        <v>340</v>
      </c>
      <c r="D256" t="s">
        <v>341</v>
      </c>
      <c r="E256" t="s">
        <v>342</v>
      </c>
      <c r="F256" t="s">
        <v>343</v>
      </c>
      <c r="G256" t="s">
        <v>344</v>
      </c>
    </row>
    <row r="257" spans="1:7" x14ac:dyDescent="0.35">
      <c r="A257">
        <v>59</v>
      </c>
      <c r="B257">
        <v>2</v>
      </c>
      <c r="C257" t="s">
        <v>378</v>
      </c>
      <c r="D257" t="s">
        <v>346</v>
      </c>
      <c r="E257" t="s">
        <v>347</v>
      </c>
      <c r="F257" t="s">
        <v>348</v>
      </c>
      <c r="G257" t="s">
        <v>349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0"/>
  <sheetViews>
    <sheetView tabSelected="1" workbookViewId="0">
      <pane ySplit="1" topLeftCell="A11" activePane="bottomLeft" state="frozen"/>
      <selection pane="bottomLeft" activeCell="C27" sqref="C27"/>
    </sheetView>
  </sheetViews>
  <sheetFormatPr defaultRowHeight="14.5" x14ac:dyDescent="0.35"/>
  <cols>
    <col min="1" max="1" width="11.90625" bestFit="1" customWidth="1"/>
    <col min="2" max="2" width="10.08984375" bestFit="1" customWidth="1"/>
    <col min="3" max="3" width="65.08984375" bestFit="1" customWidth="1"/>
    <col min="4" max="4" width="31.26953125" bestFit="1" customWidth="1"/>
    <col min="5" max="5" width="45.1796875" bestFit="1" customWidth="1"/>
    <col min="6" max="6" width="63.08984375" bestFit="1" customWidth="1"/>
    <col min="7" max="7" width="26.7265625" customWidth="1"/>
    <col min="8" max="8" width="24.36328125" customWidth="1"/>
    <col min="9" max="9" width="19.90625" customWidth="1"/>
    <col min="10" max="10" width="27.81640625" customWidth="1"/>
    <col min="11" max="11" width="29" style="3" bestFit="1" customWidth="1"/>
    <col min="12" max="12" width="15.26953125" bestFit="1" customWidth="1"/>
    <col min="13" max="13" width="16.26953125" bestFit="1" customWidth="1"/>
    <col min="14" max="14" width="18.453125" customWidth="1"/>
    <col min="15" max="15" width="19.08984375" bestFit="1" customWidth="1"/>
    <col min="16" max="16" width="21.6328125" bestFit="1" customWidth="1"/>
    <col min="17" max="17" width="22" bestFit="1" customWidth="1"/>
    <col min="18" max="18" width="24.08984375" bestFit="1" customWidth="1"/>
  </cols>
  <sheetData>
    <row r="1" spans="1:18" s="6" customFormat="1" x14ac:dyDescent="0.35">
      <c r="A1" s="6" t="s">
        <v>9</v>
      </c>
      <c r="B1" s="6" t="s">
        <v>10</v>
      </c>
      <c r="C1" s="6" t="s">
        <v>11</v>
      </c>
      <c r="D1" s="6" t="s">
        <v>12</v>
      </c>
      <c r="E1" s="6" t="s">
        <v>13</v>
      </c>
      <c r="F1" s="6" t="s">
        <v>14</v>
      </c>
      <c r="G1" s="6" t="s">
        <v>15</v>
      </c>
      <c r="H1" s="6" t="s">
        <v>23</v>
      </c>
      <c r="I1" s="6" t="s">
        <v>26</v>
      </c>
      <c r="J1" s="6" t="s">
        <v>384</v>
      </c>
      <c r="K1" s="9" t="s">
        <v>27</v>
      </c>
      <c r="L1" s="6" t="s">
        <v>379</v>
      </c>
      <c r="M1" s="6" t="s">
        <v>380</v>
      </c>
      <c r="N1" s="6" t="s">
        <v>381</v>
      </c>
      <c r="O1" s="6" t="s">
        <v>489</v>
      </c>
      <c r="P1" s="6" t="s">
        <v>490</v>
      </c>
      <c r="Q1" s="6" t="s">
        <v>491</v>
      </c>
      <c r="R1" s="6" t="s">
        <v>492</v>
      </c>
    </row>
    <row r="2" spans="1:18" x14ac:dyDescent="0.35">
      <c r="A2">
        <v>1</v>
      </c>
      <c r="B2">
        <v>1</v>
      </c>
      <c r="C2" t="s">
        <v>28</v>
      </c>
      <c r="D2" t="s">
        <v>29</v>
      </c>
      <c r="E2" t="s">
        <v>30</v>
      </c>
      <c r="F2" t="s">
        <v>31</v>
      </c>
      <c r="G2" s="2" t="s">
        <v>385</v>
      </c>
      <c r="H2" t="s">
        <v>386</v>
      </c>
      <c r="I2" t="s">
        <v>35</v>
      </c>
      <c r="J2" t="s">
        <v>383</v>
      </c>
      <c r="K2" s="3" t="s">
        <v>382</v>
      </c>
      <c r="L2">
        <v>0.16</v>
      </c>
      <c r="M2">
        <v>0.157</v>
      </c>
      <c r="N2">
        <v>0.13539999999999999</v>
      </c>
      <c r="O2">
        <f>B2*L2</f>
        <v>0.16</v>
      </c>
      <c r="P2">
        <f>B2*M2</f>
        <v>0.157</v>
      </c>
      <c r="Q2">
        <f>B2*N2</f>
        <v>0.13539999999999999</v>
      </c>
    </row>
    <row r="3" spans="1:18" x14ac:dyDescent="0.35">
      <c r="A3">
        <v>2</v>
      </c>
      <c r="B3">
        <v>1</v>
      </c>
      <c r="C3" t="s">
        <v>37</v>
      </c>
      <c r="D3" t="s">
        <v>38</v>
      </c>
      <c r="E3" t="s">
        <v>30</v>
      </c>
      <c r="F3" t="s">
        <v>31</v>
      </c>
      <c r="G3" s="2" t="s">
        <v>385</v>
      </c>
      <c r="H3" t="s">
        <v>386</v>
      </c>
      <c r="I3" t="s">
        <v>35</v>
      </c>
      <c r="J3" t="s">
        <v>383</v>
      </c>
      <c r="K3" s="3" t="s">
        <v>382</v>
      </c>
      <c r="L3">
        <v>0.16</v>
      </c>
      <c r="M3">
        <v>0.157</v>
      </c>
      <c r="N3">
        <v>0.13539999999999999</v>
      </c>
      <c r="O3">
        <f t="shared" ref="O3:O60" si="0">B3*L3</f>
        <v>0.16</v>
      </c>
      <c r="P3">
        <f t="shared" ref="P3:P60" si="1">B3*M3</f>
        <v>0.157</v>
      </c>
      <c r="Q3">
        <f t="shared" ref="Q3:Q60" si="2">B3*N3</f>
        <v>0.13539999999999999</v>
      </c>
    </row>
    <row r="4" spans="1:18" x14ac:dyDescent="0.35">
      <c r="A4">
        <v>3</v>
      </c>
      <c r="B4">
        <v>1</v>
      </c>
      <c r="C4" t="s">
        <v>39</v>
      </c>
      <c r="D4" t="s">
        <v>40</v>
      </c>
      <c r="E4" t="s">
        <v>30</v>
      </c>
      <c r="F4" t="s">
        <v>31</v>
      </c>
      <c r="G4" s="2" t="s">
        <v>385</v>
      </c>
      <c r="H4" t="s">
        <v>386</v>
      </c>
      <c r="I4" t="s">
        <v>35</v>
      </c>
      <c r="J4" t="s">
        <v>383</v>
      </c>
      <c r="K4" s="3" t="s">
        <v>382</v>
      </c>
      <c r="L4">
        <v>0.16</v>
      </c>
      <c r="M4">
        <v>0.157</v>
      </c>
      <c r="N4">
        <v>0.13539999999999999</v>
      </c>
      <c r="O4">
        <f t="shared" si="0"/>
        <v>0.16</v>
      </c>
      <c r="P4">
        <f t="shared" si="1"/>
        <v>0.157</v>
      </c>
      <c r="Q4">
        <f t="shared" si="2"/>
        <v>0.13539999999999999</v>
      </c>
    </row>
    <row r="5" spans="1:18" x14ac:dyDescent="0.35">
      <c r="A5">
        <v>4</v>
      </c>
      <c r="B5">
        <v>1</v>
      </c>
      <c r="C5" t="s">
        <v>41</v>
      </c>
      <c r="D5" t="s">
        <v>42</v>
      </c>
      <c r="E5" t="s">
        <v>30</v>
      </c>
      <c r="F5" t="s">
        <v>31</v>
      </c>
      <c r="G5" s="2" t="s">
        <v>385</v>
      </c>
      <c r="H5" t="s">
        <v>386</v>
      </c>
      <c r="I5" t="s">
        <v>35</v>
      </c>
      <c r="J5" t="s">
        <v>383</v>
      </c>
      <c r="K5" s="3" t="s">
        <v>382</v>
      </c>
      <c r="L5">
        <v>0.16</v>
      </c>
      <c r="M5">
        <v>0.157</v>
      </c>
      <c r="N5">
        <v>0.13539999999999999</v>
      </c>
      <c r="O5">
        <f t="shared" si="0"/>
        <v>0.16</v>
      </c>
      <c r="P5">
        <f t="shared" si="1"/>
        <v>0.157</v>
      </c>
      <c r="Q5">
        <f t="shared" si="2"/>
        <v>0.13539999999999999</v>
      </c>
    </row>
    <row r="6" spans="1:18" x14ac:dyDescent="0.35">
      <c r="A6">
        <v>5</v>
      </c>
      <c r="B6">
        <v>10</v>
      </c>
      <c r="C6" t="s">
        <v>352</v>
      </c>
      <c r="D6" t="s">
        <v>44</v>
      </c>
      <c r="E6" t="s">
        <v>45</v>
      </c>
      <c r="F6" t="s">
        <v>46</v>
      </c>
      <c r="G6" s="2" t="s">
        <v>389</v>
      </c>
      <c r="H6" t="s">
        <v>388</v>
      </c>
      <c r="I6" t="s">
        <v>35</v>
      </c>
      <c r="J6" t="s">
        <v>387</v>
      </c>
      <c r="K6" s="3" t="s">
        <v>391</v>
      </c>
      <c r="L6">
        <v>0.11</v>
      </c>
      <c r="M6">
        <v>9.8000000000000004E-2</v>
      </c>
      <c r="N6">
        <v>8.7599999999999997E-2</v>
      </c>
      <c r="O6">
        <f t="shared" si="0"/>
        <v>1.1000000000000001</v>
      </c>
      <c r="P6">
        <f t="shared" si="1"/>
        <v>0.98</v>
      </c>
      <c r="Q6">
        <f t="shared" si="2"/>
        <v>0.876</v>
      </c>
    </row>
    <row r="7" spans="1:18" x14ac:dyDescent="0.35">
      <c r="A7">
        <v>6</v>
      </c>
      <c r="B7">
        <v>1</v>
      </c>
      <c r="C7" t="s">
        <v>48</v>
      </c>
      <c r="D7" t="s">
        <v>49</v>
      </c>
      <c r="E7" t="s">
        <v>45</v>
      </c>
      <c r="F7" t="s">
        <v>46</v>
      </c>
      <c r="G7" s="2" t="s">
        <v>393</v>
      </c>
      <c r="H7" t="s">
        <v>392</v>
      </c>
      <c r="I7" t="s">
        <v>35</v>
      </c>
      <c r="J7" t="s">
        <v>396</v>
      </c>
      <c r="K7" s="3" t="s">
        <v>390</v>
      </c>
      <c r="L7">
        <v>0.19</v>
      </c>
      <c r="M7">
        <v>0.13500000000000001</v>
      </c>
      <c r="N7">
        <v>6.3700000000000007E-2</v>
      </c>
      <c r="O7">
        <f t="shared" si="0"/>
        <v>0.19</v>
      </c>
      <c r="P7">
        <f t="shared" si="1"/>
        <v>0.13500000000000001</v>
      </c>
      <c r="Q7">
        <f t="shared" si="2"/>
        <v>6.3700000000000007E-2</v>
      </c>
    </row>
    <row r="8" spans="1:18" x14ac:dyDescent="0.35">
      <c r="A8">
        <v>7</v>
      </c>
      <c r="B8">
        <v>1</v>
      </c>
      <c r="C8" t="s">
        <v>52</v>
      </c>
      <c r="D8" t="s">
        <v>53</v>
      </c>
      <c r="E8" t="s">
        <v>45</v>
      </c>
      <c r="F8" t="s">
        <v>46</v>
      </c>
      <c r="G8" s="2" t="s">
        <v>394</v>
      </c>
      <c r="H8" t="s">
        <v>392</v>
      </c>
      <c r="I8" t="s">
        <v>35</v>
      </c>
      <c r="J8" t="s">
        <v>395</v>
      </c>
      <c r="K8" s="3" t="s">
        <v>397</v>
      </c>
      <c r="L8">
        <v>0.18</v>
      </c>
      <c r="M8">
        <v>0.125</v>
      </c>
      <c r="N8">
        <v>6.3200000000000006E-2</v>
      </c>
      <c r="O8">
        <f t="shared" si="0"/>
        <v>0.18</v>
      </c>
      <c r="P8">
        <f t="shared" si="1"/>
        <v>0.125</v>
      </c>
      <c r="Q8">
        <f t="shared" si="2"/>
        <v>6.3200000000000006E-2</v>
      </c>
    </row>
    <row r="9" spans="1:18" x14ac:dyDescent="0.35">
      <c r="A9">
        <v>8</v>
      </c>
      <c r="B9">
        <v>2</v>
      </c>
      <c r="C9" t="s">
        <v>353</v>
      </c>
      <c r="D9" t="s">
        <v>55</v>
      </c>
      <c r="E9" t="s">
        <v>45</v>
      </c>
      <c r="F9" t="s">
        <v>46</v>
      </c>
      <c r="G9" s="2" t="s">
        <v>398</v>
      </c>
      <c r="H9" t="s">
        <v>388</v>
      </c>
      <c r="I9" t="s">
        <v>35</v>
      </c>
      <c r="J9" t="s">
        <v>399</v>
      </c>
      <c r="K9" s="3" t="s">
        <v>400</v>
      </c>
      <c r="L9">
        <v>0.15</v>
      </c>
      <c r="M9">
        <v>0.13400000000000001</v>
      </c>
      <c r="N9">
        <v>0.1201</v>
      </c>
      <c r="O9">
        <f t="shared" si="0"/>
        <v>0.3</v>
      </c>
      <c r="P9">
        <f t="shared" si="1"/>
        <v>0.26800000000000002</v>
      </c>
      <c r="Q9">
        <f t="shared" si="2"/>
        <v>0.2402</v>
      </c>
    </row>
    <row r="10" spans="1:18" x14ac:dyDescent="0.35">
      <c r="A10">
        <v>9</v>
      </c>
      <c r="B10">
        <v>12</v>
      </c>
      <c r="C10" t="s">
        <v>354</v>
      </c>
      <c r="D10" t="s">
        <v>65</v>
      </c>
      <c r="E10" t="s">
        <v>66</v>
      </c>
      <c r="F10" t="s">
        <v>46</v>
      </c>
      <c r="G10" s="2" t="s">
        <v>401</v>
      </c>
      <c r="H10" t="s">
        <v>388</v>
      </c>
      <c r="I10" t="s">
        <v>35</v>
      </c>
      <c r="J10" t="s">
        <v>402</v>
      </c>
      <c r="K10" s="3" t="s">
        <v>403</v>
      </c>
      <c r="L10">
        <v>0.11</v>
      </c>
      <c r="M10">
        <v>9.6000000000000002E-2</v>
      </c>
      <c r="N10">
        <v>8.6099999999999996E-2</v>
      </c>
      <c r="O10">
        <f t="shared" si="0"/>
        <v>1.32</v>
      </c>
      <c r="P10">
        <f t="shared" si="1"/>
        <v>1.1520000000000001</v>
      </c>
      <c r="Q10">
        <f t="shared" si="2"/>
        <v>1.0331999999999999</v>
      </c>
    </row>
    <row r="11" spans="1:18" x14ac:dyDescent="0.35">
      <c r="A11">
        <v>10</v>
      </c>
      <c r="B11">
        <v>1</v>
      </c>
      <c r="C11" t="s">
        <v>78</v>
      </c>
      <c r="D11" t="s">
        <v>79</v>
      </c>
      <c r="E11" t="s">
        <v>45</v>
      </c>
      <c r="F11" t="s">
        <v>80</v>
      </c>
      <c r="G11" s="2" t="s">
        <v>404</v>
      </c>
      <c r="H11" t="s">
        <v>405</v>
      </c>
      <c r="I11" t="s">
        <v>35</v>
      </c>
      <c r="J11" t="s">
        <v>406</v>
      </c>
      <c r="K11" s="3" t="s">
        <v>407</v>
      </c>
      <c r="L11">
        <v>0.75</v>
      </c>
      <c r="M11">
        <v>0.52800000000000002</v>
      </c>
      <c r="N11">
        <v>0.34699999999999998</v>
      </c>
      <c r="O11">
        <f t="shared" si="0"/>
        <v>0.75</v>
      </c>
      <c r="P11">
        <f t="shared" si="1"/>
        <v>0.52800000000000002</v>
      </c>
      <c r="Q11">
        <f t="shared" si="2"/>
        <v>0.34699999999999998</v>
      </c>
    </row>
    <row r="12" spans="1:18" x14ac:dyDescent="0.35">
      <c r="A12">
        <v>11</v>
      </c>
      <c r="B12">
        <v>1</v>
      </c>
      <c r="C12" t="s">
        <v>81</v>
      </c>
      <c r="D12" t="s">
        <v>82</v>
      </c>
      <c r="E12" t="s">
        <v>45</v>
      </c>
      <c r="F12" t="s">
        <v>80</v>
      </c>
      <c r="G12" s="2" t="s">
        <v>408</v>
      </c>
      <c r="H12" t="s">
        <v>409</v>
      </c>
      <c r="I12" t="s">
        <v>35</v>
      </c>
      <c r="J12" t="s">
        <v>410</v>
      </c>
      <c r="K12" s="3" t="s">
        <v>411</v>
      </c>
      <c r="L12">
        <v>0.94</v>
      </c>
      <c r="M12">
        <v>0.71499999999999997</v>
      </c>
      <c r="N12">
        <v>0.51180000000000003</v>
      </c>
      <c r="O12">
        <f t="shared" si="0"/>
        <v>0.94</v>
      </c>
      <c r="P12">
        <f t="shared" si="1"/>
        <v>0.71499999999999997</v>
      </c>
      <c r="Q12">
        <f t="shared" si="2"/>
        <v>0.51180000000000003</v>
      </c>
    </row>
    <row r="13" spans="1:18" x14ac:dyDescent="0.35">
      <c r="A13">
        <v>12</v>
      </c>
      <c r="B13">
        <v>15</v>
      </c>
      <c r="C13" t="s">
        <v>355</v>
      </c>
      <c r="D13" t="s">
        <v>84</v>
      </c>
      <c r="E13" t="s">
        <v>85</v>
      </c>
      <c r="F13" t="s">
        <v>86</v>
      </c>
      <c r="G13" s="2" t="s">
        <v>412</v>
      </c>
      <c r="H13" t="s">
        <v>413</v>
      </c>
      <c r="I13" t="s">
        <v>35</v>
      </c>
      <c r="J13" t="s">
        <v>414</v>
      </c>
      <c r="K13" s="3" t="s">
        <v>415</v>
      </c>
      <c r="L13">
        <v>0.17</v>
      </c>
      <c r="M13">
        <v>0.156</v>
      </c>
      <c r="N13">
        <v>6.5199999999999994E-2</v>
      </c>
      <c r="O13">
        <f t="shared" si="0"/>
        <v>2.5500000000000003</v>
      </c>
      <c r="P13">
        <f t="shared" si="1"/>
        <v>2.34</v>
      </c>
      <c r="Q13">
        <f t="shared" si="2"/>
        <v>0.97799999999999987</v>
      </c>
    </row>
    <row r="14" spans="1:18" x14ac:dyDescent="0.35">
      <c r="A14">
        <v>13</v>
      </c>
      <c r="B14">
        <v>1</v>
      </c>
      <c r="C14" t="s">
        <v>89</v>
      </c>
      <c r="D14" t="s">
        <v>90</v>
      </c>
      <c r="E14" t="s">
        <v>91</v>
      </c>
      <c r="F14" t="s">
        <v>92</v>
      </c>
      <c r="G14" s="2" t="s">
        <v>416</v>
      </c>
      <c r="H14" t="s">
        <v>417</v>
      </c>
      <c r="I14" t="s">
        <v>35</v>
      </c>
      <c r="J14" t="s">
        <v>418</v>
      </c>
      <c r="K14" s="3" t="s">
        <v>419</v>
      </c>
      <c r="L14">
        <v>0.3</v>
      </c>
      <c r="M14">
        <v>0.28199999999999997</v>
      </c>
      <c r="N14">
        <v>0.2606</v>
      </c>
      <c r="O14">
        <f t="shared" si="0"/>
        <v>0.3</v>
      </c>
      <c r="P14">
        <f t="shared" si="1"/>
        <v>0.28199999999999997</v>
      </c>
      <c r="Q14">
        <f t="shared" si="2"/>
        <v>0.2606</v>
      </c>
    </row>
    <row r="15" spans="1:18" x14ac:dyDescent="0.35">
      <c r="A15">
        <v>14</v>
      </c>
      <c r="B15">
        <v>4</v>
      </c>
      <c r="C15" t="s">
        <v>356</v>
      </c>
      <c r="D15" t="s">
        <v>95</v>
      </c>
      <c r="E15" t="s">
        <v>96</v>
      </c>
      <c r="F15" t="s">
        <v>97</v>
      </c>
      <c r="G15" t="s">
        <v>47</v>
      </c>
      <c r="O15">
        <f t="shared" si="0"/>
        <v>0</v>
      </c>
      <c r="P15">
        <f t="shared" si="1"/>
        <v>0</v>
      </c>
      <c r="Q15">
        <f t="shared" si="2"/>
        <v>0</v>
      </c>
    </row>
    <row r="16" spans="1:18" x14ac:dyDescent="0.35">
      <c r="A16">
        <v>15</v>
      </c>
      <c r="B16">
        <v>1</v>
      </c>
      <c r="C16" t="s">
        <v>113</v>
      </c>
      <c r="D16" t="s">
        <v>114</v>
      </c>
      <c r="E16" t="s">
        <v>115</v>
      </c>
      <c r="F16" t="s">
        <v>116</v>
      </c>
      <c r="G16" s="2" t="s">
        <v>420</v>
      </c>
      <c r="H16" t="s">
        <v>421</v>
      </c>
      <c r="I16" t="s">
        <v>35</v>
      </c>
      <c r="J16" t="s">
        <v>422</v>
      </c>
      <c r="K16" s="3" t="s">
        <v>423</v>
      </c>
      <c r="L16">
        <v>0.25</v>
      </c>
      <c r="M16">
        <v>0.23599999999999999</v>
      </c>
      <c r="N16">
        <v>0.19600000000000001</v>
      </c>
      <c r="O16">
        <f t="shared" si="0"/>
        <v>0.25</v>
      </c>
      <c r="P16">
        <f t="shared" si="1"/>
        <v>0.23599999999999999</v>
      </c>
      <c r="Q16">
        <f t="shared" si="2"/>
        <v>0.19600000000000001</v>
      </c>
    </row>
    <row r="17" spans="1:17" x14ac:dyDescent="0.35">
      <c r="A17">
        <v>16</v>
      </c>
      <c r="B17">
        <v>4</v>
      </c>
      <c r="C17" t="s">
        <v>357</v>
      </c>
      <c r="D17" t="s">
        <v>118</v>
      </c>
      <c r="E17" t="s">
        <v>119</v>
      </c>
      <c r="F17" t="s">
        <v>120</v>
      </c>
      <c r="G17" t="s">
        <v>47</v>
      </c>
      <c r="O17">
        <f t="shared" si="0"/>
        <v>0</v>
      </c>
      <c r="P17">
        <f t="shared" si="1"/>
        <v>0</v>
      </c>
      <c r="Q17">
        <f t="shared" si="2"/>
        <v>0</v>
      </c>
    </row>
    <row r="18" spans="1:17" x14ac:dyDescent="0.35">
      <c r="A18">
        <v>17</v>
      </c>
      <c r="B18">
        <v>1</v>
      </c>
      <c r="C18" t="s">
        <v>124</v>
      </c>
      <c r="D18" t="s">
        <v>125</v>
      </c>
      <c r="E18" t="s">
        <v>126</v>
      </c>
      <c r="F18" t="s">
        <v>127</v>
      </c>
      <c r="G18" s="2" t="s">
        <v>428</v>
      </c>
      <c r="H18" t="s">
        <v>424</v>
      </c>
      <c r="I18" t="s">
        <v>35</v>
      </c>
      <c r="J18" t="s">
        <v>425</v>
      </c>
      <c r="K18" s="3" t="s">
        <v>426</v>
      </c>
      <c r="L18">
        <v>0.37</v>
      </c>
      <c r="M18">
        <v>0.35199999999999998</v>
      </c>
      <c r="N18">
        <v>0.2467</v>
      </c>
      <c r="O18">
        <f t="shared" si="0"/>
        <v>0.37</v>
      </c>
      <c r="P18">
        <f t="shared" si="1"/>
        <v>0.35199999999999998</v>
      </c>
      <c r="Q18">
        <f t="shared" si="2"/>
        <v>0.2467</v>
      </c>
    </row>
    <row r="19" spans="1:17" x14ac:dyDescent="0.35">
      <c r="A19">
        <v>18</v>
      </c>
      <c r="B19">
        <v>1</v>
      </c>
      <c r="C19" t="s">
        <v>128</v>
      </c>
      <c r="D19" t="s">
        <v>129</v>
      </c>
      <c r="E19" t="s">
        <v>130</v>
      </c>
      <c r="F19" t="s">
        <v>131</v>
      </c>
      <c r="G19" s="2" t="s">
        <v>427</v>
      </c>
      <c r="H19" t="s">
        <v>429</v>
      </c>
      <c r="I19" t="s">
        <v>35</v>
      </c>
      <c r="J19" t="s">
        <v>430</v>
      </c>
      <c r="K19" s="3" t="s">
        <v>431</v>
      </c>
      <c r="L19">
        <v>2.21</v>
      </c>
      <c r="M19">
        <v>2.0049999999999999</v>
      </c>
      <c r="N19">
        <v>1.7183999999999999</v>
      </c>
      <c r="O19">
        <f t="shared" si="0"/>
        <v>2.21</v>
      </c>
      <c r="P19">
        <f t="shared" si="1"/>
        <v>2.0049999999999999</v>
      </c>
      <c r="Q19">
        <f t="shared" si="2"/>
        <v>1.7183999999999999</v>
      </c>
    </row>
    <row r="20" spans="1:17" x14ac:dyDescent="0.35">
      <c r="A20">
        <v>19</v>
      </c>
      <c r="B20">
        <v>2</v>
      </c>
      <c r="C20" t="s">
        <v>358</v>
      </c>
      <c r="D20" t="s">
        <v>133</v>
      </c>
      <c r="E20" t="s">
        <v>134</v>
      </c>
      <c r="F20" t="s">
        <v>135</v>
      </c>
      <c r="G20" t="s">
        <v>47</v>
      </c>
      <c r="O20">
        <f t="shared" si="0"/>
        <v>0</v>
      </c>
      <c r="P20">
        <f t="shared" si="1"/>
        <v>0</v>
      </c>
      <c r="Q20">
        <f t="shared" si="2"/>
        <v>0</v>
      </c>
    </row>
    <row r="21" spans="1:17" x14ac:dyDescent="0.35">
      <c r="A21">
        <v>20</v>
      </c>
      <c r="B21">
        <v>1</v>
      </c>
      <c r="C21" t="s">
        <v>136</v>
      </c>
      <c r="D21" t="s">
        <v>133</v>
      </c>
      <c r="E21" t="s">
        <v>134</v>
      </c>
      <c r="F21" t="s">
        <v>137</v>
      </c>
      <c r="G21" t="s">
        <v>47</v>
      </c>
      <c r="O21">
        <f t="shared" si="0"/>
        <v>0</v>
      </c>
      <c r="P21">
        <f t="shared" si="1"/>
        <v>0</v>
      </c>
      <c r="Q21">
        <f t="shared" si="2"/>
        <v>0</v>
      </c>
    </row>
    <row r="22" spans="1:17" x14ac:dyDescent="0.35">
      <c r="A22">
        <v>21</v>
      </c>
      <c r="B22">
        <v>3</v>
      </c>
      <c r="C22" t="s">
        <v>359</v>
      </c>
      <c r="D22" t="s">
        <v>139</v>
      </c>
      <c r="E22" t="s">
        <v>140</v>
      </c>
      <c r="F22" t="s">
        <v>141</v>
      </c>
      <c r="G22" s="2" t="s">
        <v>432</v>
      </c>
      <c r="H22" t="s">
        <v>429</v>
      </c>
      <c r="I22" t="s">
        <v>35</v>
      </c>
      <c r="J22" t="s">
        <v>433</v>
      </c>
      <c r="K22" s="3" t="s">
        <v>434</v>
      </c>
      <c r="L22">
        <v>1.71</v>
      </c>
      <c r="M22">
        <v>1.554</v>
      </c>
      <c r="N22">
        <v>1.3322000000000001</v>
      </c>
      <c r="O22">
        <f t="shared" si="0"/>
        <v>5.13</v>
      </c>
      <c r="P22">
        <f t="shared" si="1"/>
        <v>4.6619999999999999</v>
      </c>
      <c r="Q22">
        <f t="shared" si="2"/>
        <v>3.9965999999999999</v>
      </c>
    </row>
    <row r="23" spans="1:17" x14ac:dyDescent="0.35">
      <c r="A23">
        <v>22</v>
      </c>
      <c r="B23">
        <v>1</v>
      </c>
      <c r="C23" t="s">
        <v>145</v>
      </c>
      <c r="D23" t="s">
        <v>146</v>
      </c>
      <c r="E23" t="s">
        <v>147</v>
      </c>
      <c r="F23" t="s">
        <v>148</v>
      </c>
      <c r="G23" s="2" t="s">
        <v>435</v>
      </c>
      <c r="H23" t="s">
        <v>436</v>
      </c>
      <c r="I23" t="s">
        <v>35</v>
      </c>
      <c r="J23" t="s">
        <v>437</v>
      </c>
      <c r="K23" s="3" t="s">
        <v>438</v>
      </c>
      <c r="L23">
        <v>0.9</v>
      </c>
      <c r="M23">
        <v>0.78400000000000003</v>
      </c>
      <c r="N23">
        <v>0.55969999999999998</v>
      </c>
      <c r="O23">
        <f t="shared" si="0"/>
        <v>0.9</v>
      </c>
      <c r="P23">
        <f t="shared" si="1"/>
        <v>0.78400000000000003</v>
      </c>
      <c r="Q23">
        <f t="shared" si="2"/>
        <v>0.55969999999999998</v>
      </c>
    </row>
    <row r="24" spans="1:17" x14ac:dyDescent="0.35">
      <c r="A24">
        <v>23</v>
      </c>
      <c r="B24">
        <v>2</v>
      </c>
      <c r="C24" t="s">
        <v>360</v>
      </c>
      <c r="D24" t="s">
        <v>150</v>
      </c>
      <c r="E24" t="s">
        <v>151</v>
      </c>
      <c r="F24" t="s">
        <v>152</v>
      </c>
      <c r="G24" s="2" t="s">
        <v>439</v>
      </c>
      <c r="H24" t="s">
        <v>440</v>
      </c>
      <c r="I24" t="s">
        <v>35</v>
      </c>
      <c r="J24" t="s">
        <v>441</v>
      </c>
      <c r="K24" s="3" t="s">
        <v>442</v>
      </c>
      <c r="L24">
        <v>0.14000000000000001</v>
      </c>
      <c r="M24">
        <v>0.13100000000000001</v>
      </c>
      <c r="N24">
        <v>5.5E-2</v>
      </c>
      <c r="O24">
        <f t="shared" si="0"/>
        <v>0.28000000000000003</v>
      </c>
      <c r="P24">
        <f t="shared" si="1"/>
        <v>0.26200000000000001</v>
      </c>
      <c r="Q24">
        <f t="shared" si="2"/>
        <v>0.11</v>
      </c>
    </row>
    <row r="25" spans="1:17" x14ac:dyDescent="0.35">
      <c r="A25">
        <v>24</v>
      </c>
      <c r="B25">
        <v>1</v>
      </c>
      <c r="C25" t="s">
        <v>155</v>
      </c>
      <c r="D25" t="s">
        <v>156</v>
      </c>
      <c r="E25" t="s">
        <v>157</v>
      </c>
      <c r="F25" t="s">
        <v>158</v>
      </c>
      <c r="G25" s="2" t="s">
        <v>159</v>
      </c>
      <c r="H25" t="s">
        <v>443</v>
      </c>
      <c r="I25" t="s">
        <v>35</v>
      </c>
      <c r="J25" t="s">
        <v>444</v>
      </c>
      <c r="K25" s="3" t="s">
        <v>445</v>
      </c>
      <c r="L25">
        <v>0.67</v>
      </c>
      <c r="M25">
        <v>0.58799999999999997</v>
      </c>
      <c r="N25">
        <v>0.4012</v>
      </c>
      <c r="O25">
        <f t="shared" si="0"/>
        <v>0.67</v>
      </c>
      <c r="P25">
        <f t="shared" si="1"/>
        <v>0.58799999999999997</v>
      </c>
      <c r="Q25">
        <f t="shared" si="2"/>
        <v>0.4012</v>
      </c>
    </row>
    <row r="26" spans="1:17" x14ac:dyDescent="0.35">
      <c r="A26">
        <v>25</v>
      </c>
      <c r="B26">
        <v>12</v>
      </c>
      <c r="C26" t="s">
        <v>361</v>
      </c>
      <c r="D26" t="s">
        <v>161</v>
      </c>
      <c r="E26" t="s">
        <v>162</v>
      </c>
      <c r="F26" t="s">
        <v>158</v>
      </c>
      <c r="G26" s="2" t="s">
        <v>446</v>
      </c>
      <c r="H26" t="s">
        <v>443</v>
      </c>
      <c r="I26" t="s">
        <v>35</v>
      </c>
      <c r="J26" t="s">
        <v>447</v>
      </c>
      <c r="K26" s="3" t="s">
        <v>448</v>
      </c>
      <c r="L26">
        <v>0.59</v>
      </c>
      <c r="M26">
        <v>0.52300000000000002</v>
      </c>
      <c r="N26">
        <v>0.35639999999999999</v>
      </c>
      <c r="O26">
        <f t="shared" si="0"/>
        <v>7.08</v>
      </c>
      <c r="P26">
        <f t="shared" si="1"/>
        <v>6.2759999999999998</v>
      </c>
      <c r="Q26">
        <f t="shared" si="2"/>
        <v>4.2767999999999997</v>
      </c>
    </row>
    <row r="27" spans="1:17" x14ac:dyDescent="0.35">
      <c r="A27">
        <v>26</v>
      </c>
      <c r="B27">
        <v>4</v>
      </c>
      <c r="C27" t="s">
        <v>362</v>
      </c>
      <c r="D27" t="s">
        <v>176</v>
      </c>
      <c r="E27" t="s">
        <v>177</v>
      </c>
      <c r="F27" t="s">
        <v>178</v>
      </c>
      <c r="G27" t="s">
        <v>47</v>
      </c>
      <c r="O27">
        <f t="shared" si="0"/>
        <v>0</v>
      </c>
      <c r="P27">
        <f t="shared" si="1"/>
        <v>0</v>
      </c>
      <c r="Q27">
        <f t="shared" si="2"/>
        <v>0</v>
      </c>
    </row>
    <row r="28" spans="1:17" x14ac:dyDescent="0.35">
      <c r="A28">
        <v>27</v>
      </c>
      <c r="B28">
        <v>2</v>
      </c>
      <c r="C28" t="s">
        <v>363</v>
      </c>
      <c r="D28" t="s">
        <v>181</v>
      </c>
      <c r="E28" t="s">
        <v>177</v>
      </c>
      <c r="F28" t="s">
        <v>178</v>
      </c>
      <c r="G28" t="s">
        <v>47</v>
      </c>
      <c r="O28">
        <f t="shared" si="0"/>
        <v>0</v>
      </c>
      <c r="P28">
        <f t="shared" si="1"/>
        <v>0</v>
      </c>
      <c r="Q28">
        <f t="shared" si="2"/>
        <v>0</v>
      </c>
    </row>
    <row r="29" spans="1:17" x14ac:dyDescent="0.35">
      <c r="A29">
        <v>28</v>
      </c>
      <c r="B29">
        <v>1</v>
      </c>
      <c r="C29" t="s">
        <v>185</v>
      </c>
      <c r="D29" t="s">
        <v>186</v>
      </c>
      <c r="E29" t="s">
        <v>177</v>
      </c>
      <c r="F29" t="s">
        <v>187</v>
      </c>
      <c r="G29" s="2" t="s">
        <v>449</v>
      </c>
      <c r="H29" t="s">
        <v>450</v>
      </c>
      <c r="I29" t="s">
        <v>35</v>
      </c>
      <c r="J29" t="s">
        <v>451</v>
      </c>
      <c r="K29" s="3" t="s">
        <v>452</v>
      </c>
      <c r="L29">
        <v>0.65</v>
      </c>
      <c r="M29">
        <v>0.53900000000000003</v>
      </c>
      <c r="N29">
        <v>0.3619</v>
      </c>
      <c r="O29">
        <f t="shared" si="0"/>
        <v>0.65</v>
      </c>
      <c r="P29">
        <f t="shared" si="1"/>
        <v>0.53900000000000003</v>
      </c>
      <c r="Q29">
        <f t="shared" si="2"/>
        <v>0.3619</v>
      </c>
    </row>
    <row r="30" spans="1:17" x14ac:dyDescent="0.35">
      <c r="A30">
        <v>29</v>
      </c>
      <c r="B30">
        <v>1</v>
      </c>
      <c r="C30" t="s">
        <v>188</v>
      </c>
      <c r="D30" t="s">
        <v>189</v>
      </c>
      <c r="E30" t="s">
        <v>177</v>
      </c>
      <c r="F30" t="s">
        <v>178</v>
      </c>
      <c r="G30" t="s">
        <v>47</v>
      </c>
      <c r="O30">
        <f t="shared" si="0"/>
        <v>0</v>
      </c>
      <c r="P30">
        <f t="shared" si="1"/>
        <v>0</v>
      </c>
      <c r="Q30">
        <f t="shared" si="2"/>
        <v>0</v>
      </c>
    </row>
    <row r="31" spans="1:17" x14ac:dyDescent="0.35">
      <c r="A31">
        <v>30</v>
      </c>
      <c r="B31">
        <v>6</v>
      </c>
      <c r="C31" t="s">
        <v>364</v>
      </c>
      <c r="D31" t="s">
        <v>191</v>
      </c>
      <c r="E31" t="s">
        <v>192</v>
      </c>
      <c r="F31" t="s">
        <v>178</v>
      </c>
      <c r="G31" t="s">
        <v>47</v>
      </c>
      <c r="O31">
        <f t="shared" si="0"/>
        <v>0</v>
      </c>
      <c r="P31">
        <f t="shared" si="1"/>
        <v>0</v>
      </c>
      <c r="Q31">
        <f t="shared" si="2"/>
        <v>0</v>
      </c>
    </row>
    <row r="32" spans="1:17" x14ac:dyDescent="0.35">
      <c r="A32">
        <v>31</v>
      </c>
      <c r="B32">
        <v>1</v>
      </c>
      <c r="C32" t="s">
        <v>193</v>
      </c>
      <c r="D32" t="s">
        <v>194</v>
      </c>
      <c r="E32" t="s">
        <v>177</v>
      </c>
      <c r="F32" t="s">
        <v>178</v>
      </c>
      <c r="G32" t="s">
        <v>47</v>
      </c>
      <c r="O32">
        <f t="shared" si="0"/>
        <v>0</v>
      </c>
      <c r="P32">
        <f t="shared" si="1"/>
        <v>0</v>
      </c>
      <c r="Q32">
        <f t="shared" si="2"/>
        <v>0</v>
      </c>
    </row>
    <row r="33" spans="1:17" x14ac:dyDescent="0.35">
      <c r="A33">
        <v>32</v>
      </c>
      <c r="B33">
        <v>15</v>
      </c>
      <c r="C33" t="s">
        <v>365</v>
      </c>
      <c r="D33" t="s">
        <v>196</v>
      </c>
      <c r="E33" t="s">
        <v>177</v>
      </c>
      <c r="F33" t="s">
        <v>178</v>
      </c>
      <c r="G33" t="s">
        <v>47</v>
      </c>
      <c r="O33">
        <f t="shared" si="0"/>
        <v>0</v>
      </c>
      <c r="P33">
        <f t="shared" si="1"/>
        <v>0</v>
      </c>
      <c r="Q33">
        <f t="shared" si="2"/>
        <v>0</v>
      </c>
    </row>
    <row r="34" spans="1:17" x14ac:dyDescent="0.35">
      <c r="A34">
        <v>33</v>
      </c>
      <c r="B34">
        <v>2</v>
      </c>
      <c r="C34" t="s">
        <v>366</v>
      </c>
      <c r="D34" t="s">
        <v>217</v>
      </c>
      <c r="E34" t="s">
        <v>177</v>
      </c>
      <c r="F34" t="s">
        <v>178</v>
      </c>
      <c r="G34" t="s">
        <v>47</v>
      </c>
      <c r="O34">
        <f t="shared" si="0"/>
        <v>0</v>
      </c>
      <c r="P34">
        <f t="shared" si="1"/>
        <v>0</v>
      </c>
      <c r="Q34">
        <f t="shared" si="2"/>
        <v>0</v>
      </c>
    </row>
    <row r="35" spans="1:17" x14ac:dyDescent="0.35">
      <c r="A35">
        <v>34</v>
      </c>
      <c r="B35">
        <v>1</v>
      </c>
      <c r="C35" t="s">
        <v>218</v>
      </c>
      <c r="D35" t="s">
        <v>219</v>
      </c>
      <c r="E35" t="s">
        <v>177</v>
      </c>
      <c r="F35" t="s">
        <v>178</v>
      </c>
      <c r="G35" t="s">
        <v>47</v>
      </c>
      <c r="O35">
        <f t="shared" si="0"/>
        <v>0</v>
      </c>
      <c r="P35">
        <f t="shared" si="1"/>
        <v>0</v>
      </c>
      <c r="Q35">
        <f t="shared" si="2"/>
        <v>0</v>
      </c>
    </row>
    <row r="36" spans="1:17" x14ac:dyDescent="0.35">
      <c r="A36">
        <v>35</v>
      </c>
      <c r="B36">
        <v>2</v>
      </c>
      <c r="C36" t="s">
        <v>367</v>
      </c>
      <c r="D36" t="s">
        <v>221</v>
      </c>
      <c r="E36" t="s">
        <v>177</v>
      </c>
      <c r="F36" t="s">
        <v>178</v>
      </c>
      <c r="G36" t="s">
        <v>47</v>
      </c>
      <c r="O36">
        <f t="shared" si="0"/>
        <v>0</v>
      </c>
      <c r="P36">
        <f t="shared" si="1"/>
        <v>0</v>
      </c>
      <c r="Q36">
        <f t="shared" si="2"/>
        <v>0</v>
      </c>
    </row>
    <row r="37" spans="1:17" x14ac:dyDescent="0.35">
      <c r="A37">
        <v>36</v>
      </c>
      <c r="B37">
        <v>4</v>
      </c>
      <c r="C37" t="s">
        <v>368</v>
      </c>
      <c r="D37" t="s">
        <v>223</v>
      </c>
      <c r="E37" t="s">
        <v>177</v>
      </c>
      <c r="F37" t="s">
        <v>178</v>
      </c>
      <c r="G37" t="s">
        <v>47</v>
      </c>
      <c r="O37">
        <f t="shared" si="0"/>
        <v>0</v>
      </c>
      <c r="P37">
        <f t="shared" si="1"/>
        <v>0</v>
      </c>
      <c r="Q37">
        <f t="shared" si="2"/>
        <v>0</v>
      </c>
    </row>
    <row r="38" spans="1:17" x14ac:dyDescent="0.35">
      <c r="A38">
        <v>37</v>
      </c>
      <c r="B38">
        <v>3</v>
      </c>
      <c r="C38" t="s">
        <v>369</v>
      </c>
      <c r="D38" t="s">
        <v>226</v>
      </c>
      <c r="E38" t="s">
        <v>177</v>
      </c>
      <c r="F38" t="s">
        <v>178</v>
      </c>
      <c r="G38" t="s">
        <v>47</v>
      </c>
      <c r="O38">
        <f t="shared" si="0"/>
        <v>0</v>
      </c>
      <c r="P38">
        <f t="shared" si="1"/>
        <v>0</v>
      </c>
      <c r="Q38">
        <f t="shared" si="2"/>
        <v>0</v>
      </c>
    </row>
    <row r="39" spans="1:17" x14ac:dyDescent="0.35">
      <c r="A39">
        <v>38</v>
      </c>
      <c r="B39">
        <v>16</v>
      </c>
      <c r="C39" t="s">
        <v>370</v>
      </c>
      <c r="D39" t="s">
        <v>229</v>
      </c>
      <c r="E39" t="s">
        <v>177</v>
      </c>
      <c r="F39" t="s">
        <v>178</v>
      </c>
      <c r="G39" t="s">
        <v>47</v>
      </c>
      <c r="O39">
        <f t="shared" si="0"/>
        <v>0</v>
      </c>
      <c r="P39">
        <f t="shared" si="1"/>
        <v>0</v>
      </c>
      <c r="Q39">
        <f t="shared" si="2"/>
        <v>0</v>
      </c>
    </row>
    <row r="40" spans="1:17" x14ac:dyDescent="0.35">
      <c r="A40">
        <v>39</v>
      </c>
      <c r="B40">
        <v>2</v>
      </c>
      <c r="C40" t="s">
        <v>371</v>
      </c>
      <c r="D40" t="s">
        <v>234</v>
      </c>
      <c r="E40" t="s">
        <v>177</v>
      </c>
      <c r="F40" t="s">
        <v>178</v>
      </c>
      <c r="G40" t="s">
        <v>47</v>
      </c>
      <c r="O40">
        <f t="shared" si="0"/>
        <v>0</v>
      </c>
      <c r="P40">
        <f t="shared" si="1"/>
        <v>0</v>
      </c>
      <c r="Q40">
        <f t="shared" si="2"/>
        <v>0</v>
      </c>
    </row>
    <row r="41" spans="1:17" x14ac:dyDescent="0.35">
      <c r="A41">
        <v>40</v>
      </c>
      <c r="B41">
        <v>1</v>
      </c>
      <c r="C41" t="s">
        <v>235</v>
      </c>
      <c r="D41" t="s">
        <v>236</v>
      </c>
      <c r="E41" t="s">
        <v>177</v>
      </c>
      <c r="F41" t="s">
        <v>178</v>
      </c>
      <c r="G41" t="s">
        <v>47</v>
      </c>
      <c r="O41">
        <f t="shared" si="0"/>
        <v>0</v>
      </c>
      <c r="P41">
        <f t="shared" si="1"/>
        <v>0</v>
      </c>
      <c r="Q41">
        <f t="shared" si="2"/>
        <v>0</v>
      </c>
    </row>
    <row r="42" spans="1:17" x14ac:dyDescent="0.35">
      <c r="A42">
        <v>41</v>
      </c>
      <c r="B42">
        <v>1</v>
      </c>
      <c r="C42" t="s">
        <v>243</v>
      </c>
      <c r="D42" t="s">
        <v>244</v>
      </c>
      <c r="E42" t="s">
        <v>177</v>
      </c>
      <c r="F42" t="s">
        <v>178</v>
      </c>
      <c r="G42" t="s">
        <v>47</v>
      </c>
      <c r="O42">
        <f t="shared" si="0"/>
        <v>0</v>
      </c>
      <c r="P42">
        <f t="shared" si="1"/>
        <v>0</v>
      </c>
      <c r="Q42">
        <f t="shared" si="2"/>
        <v>0</v>
      </c>
    </row>
    <row r="43" spans="1:17" x14ac:dyDescent="0.35">
      <c r="A43">
        <v>42</v>
      </c>
      <c r="B43">
        <v>2</v>
      </c>
      <c r="C43" t="s">
        <v>372</v>
      </c>
      <c r="D43" t="s">
        <v>246</v>
      </c>
      <c r="E43" t="s">
        <v>177</v>
      </c>
      <c r="F43" t="s">
        <v>178</v>
      </c>
      <c r="G43" t="s">
        <v>47</v>
      </c>
      <c r="O43">
        <f t="shared" si="0"/>
        <v>0</v>
      </c>
      <c r="P43">
        <f t="shared" si="1"/>
        <v>0</v>
      </c>
      <c r="Q43">
        <f t="shared" si="2"/>
        <v>0</v>
      </c>
    </row>
    <row r="44" spans="1:17" x14ac:dyDescent="0.35">
      <c r="A44">
        <v>43</v>
      </c>
      <c r="B44">
        <v>3</v>
      </c>
      <c r="C44" t="s">
        <v>373</v>
      </c>
      <c r="D44" t="s">
        <v>248</v>
      </c>
      <c r="E44" t="s">
        <v>177</v>
      </c>
      <c r="F44" t="s">
        <v>178</v>
      </c>
      <c r="G44" t="s">
        <v>47</v>
      </c>
      <c r="O44">
        <f t="shared" si="0"/>
        <v>0</v>
      </c>
      <c r="P44">
        <f t="shared" si="1"/>
        <v>0</v>
      </c>
      <c r="Q44">
        <f t="shared" si="2"/>
        <v>0</v>
      </c>
    </row>
    <row r="45" spans="1:17" x14ac:dyDescent="0.35">
      <c r="A45">
        <v>44</v>
      </c>
      <c r="B45">
        <v>2</v>
      </c>
      <c r="C45" t="s">
        <v>374</v>
      </c>
      <c r="D45" t="s">
        <v>253</v>
      </c>
      <c r="E45" t="s">
        <v>177</v>
      </c>
      <c r="F45" t="s">
        <v>178</v>
      </c>
      <c r="G45" t="s">
        <v>47</v>
      </c>
      <c r="O45">
        <f t="shared" si="0"/>
        <v>0</v>
      </c>
      <c r="P45">
        <f t="shared" si="1"/>
        <v>0</v>
      </c>
      <c r="Q45">
        <f t="shared" si="2"/>
        <v>0</v>
      </c>
    </row>
    <row r="46" spans="1:17" x14ac:dyDescent="0.35">
      <c r="A46">
        <v>45</v>
      </c>
      <c r="B46">
        <v>1</v>
      </c>
      <c r="C46" t="s">
        <v>255</v>
      </c>
      <c r="D46" t="s">
        <v>256</v>
      </c>
      <c r="E46" t="s">
        <v>177</v>
      </c>
      <c r="F46" t="s">
        <v>178</v>
      </c>
      <c r="G46" t="s">
        <v>47</v>
      </c>
      <c r="O46">
        <f t="shared" si="0"/>
        <v>0</v>
      </c>
      <c r="P46">
        <f t="shared" si="1"/>
        <v>0</v>
      </c>
      <c r="Q46">
        <f t="shared" si="2"/>
        <v>0</v>
      </c>
    </row>
    <row r="47" spans="1:17" x14ac:dyDescent="0.35">
      <c r="A47">
        <v>46</v>
      </c>
      <c r="B47">
        <v>1</v>
      </c>
      <c r="C47" t="s">
        <v>257</v>
      </c>
      <c r="D47" t="s">
        <v>258</v>
      </c>
      <c r="E47" t="s">
        <v>177</v>
      </c>
      <c r="F47" t="s">
        <v>178</v>
      </c>
      <c r="G47" t="s">
        <v>47</v>
      </c>
      <c r="O47">
        <f t="shared" si="0"/>
        <v>0</v>
      </c>
      <c r="P47">
        <f t="shared" si="1"/>
        <v>0</v>
      </c>
      <c r="Q47">
        <f t="shared" si="2"/>
        <v>0</v>
      </c>
    </row>
    <row r="48" spans="1:17" x14ac:dyDescent="0.35">
      <c r="A48">
        <v>47</v>
      </c>
      <c r="B48">
        <v>12</v>
      </c>
      <c r="C48" t="s">
        <v>375</v>
      </c>
      <c r="D48" t="s">
        <v>260</v>
      </c>
      <c r="E48" t="s">
        <v>177</v>
      </c>
      <c r="F48" t="s">
        <v>178</v>
      </c>
      <c r="G48" t="s">
        <v>47</v>
      </c>
      <c r="O48">
        <f t="shared" si="0"/>
        <v>0</v>
      </c>
      <c r="P48">
        <f t="shared" si="1"/>
        <v>0</v>
      </c>
      <c r="Q48">
        <f t="shared" si="2"/>
        <v>0</v>
      </c>
    </row>
    <row r="49" spans="1:17" x14ac:dyDescent="0.35">
      <c r="A49">
        <v>48</v>
      </c>
      <c r="B49">
        <v>4</v>
      </c>
      <c r="C49" t="s">
        <v>376</v>
      </c>
      <c r="D49" t="s">
        <v>191</v>
      </c>
      <c r="E49" t="s">
        <v>177</v>
      </c>
      <c r="F49" t="s">
        <v>178</v>
      </c>
      <c r="G49" t="s">
        <v>47</v>
      </c>
      <c r="O49">
        <f t="shared" si="0"/>
        <v>0</v>
      </c>
      <c r="P49">
        <f t="shared" si="1"/>
        <v>0</v>
      </c>
      <c r="Q49">
        <f t="shared" si="2"/>
        <v>0</v>
      </c>
    </row>
    <row r="50" spans="1:17" x14ac:dyDescent="0.35">
      <c r="A50">
        <v>49</v>
      </c>
      <c r="B50">
        <v>4</v>
      </c>
      <c r="C50" t="s">
        <v>377</v>
      </c>
      <c r="D50" t="s">
        <v>181</v>
      </c>
      <c r="E50" t="s">
        <v>289</v>
      </c>
      <c r="F50" t="s">
        <v>290</v>
      </c>
      <c r="G50" s="2" t="s">
        <v>453</v>
      </c>
      <c r="H50" t="s">
        <v>409</v>
      </c>
      <c r="I50" t="s">
        <v>35</v>
      </c>
      <c r="J50" t="s">
        <v>454</v>
      </c>
      <c r="K50" s="3" t="s">
        <v>455</v>
      </c>
      <c r="L50">
        <v>0.1</v>
      </c>
      <c r="M50">
        <v>6.8000000000000005E-2</v>
      </c>
      <c r="N50">
        <v>4.2799999999999998E-2</v>
      </c>
      <c r="O50">
        <f t="shared" si="0"/>
        <v>0.4</v>
      </c>
      <c r="P50">
        <f t="shared" si="1"/>
        <v>0.27200000000000002</v>
      </c>
      <c r="Q50">
        <f t="shared" si="2"/>
        <v>0.17119999999999999</v>
      </c>
    </row>
    <row r="51" spans="1:17" x14ac:dyDescent="0.35">
      <c r="A51">
        <v>50</v>
      </c>
      <c r="B51">
        <v>1</v>
      </c>
      <c r="C51" t="s">
        <v>294</v>
      </c>
      <c r="D51" t="s">
        <v>295</v>
      </c>
      <c r="E51" t="s">
        <v>296</v>
      </c>
      <c r="F51" t="s">
        <v>297</v>
      </c>
      <c r="G51" s="2" t="s">
        <v>456</v>
      </c>
      <c r="H51" t="s">
        <v>457</v>
      </c>
      <c r="I51" t="s">
        <v>35</v>
      </c>
      <c r="J51" t="s">
        <v>458</v>
      </c>
      <c r="K51" s="3" t="s">
        <v>459</v>
      </c>
      <c r="L51">
        <v>6.57</v>
      </c>
      <c r="M51">
        <v>5.93</v>
      </c>
      <c r="N51">
        <v>4.6920000000000002</v>
      </c>
      <c r="O51">
        <f t="shared" si="0"/>
        <v>6.57</v>
      </c>
      <c r="P51">
        <f t="shared" si="1"/>
        <v>5.93</v>
      </c>
      <c r="Q51">
        <f t="shared" si="2"/>
        <v>4.6920000000000002</v>
      </c>
    </row>
    <row r="52" spans="1:17" x14ac:dyDescent="0.35">
      <c r="A52">
        <v>51</v>
      </c>
      <c r="B52">
        <v>1</v>
      </c>
      <c r="C52" t="s">
        <v>299</v>
      </c>
      <c r="D52" t="s">
        <v>300</v>
      </c>
      <c r="E52" t="s">
        <v>301</v>
      </c>
      <c r="F52" t="s">
        <v>302</v>
      </c>
      <c r="G52" s="2" t="s">
        <v>460</v>
      </c>
      <c r="H52" t="s">
        <v>457</v>
      </c>
      <c r="I52" t="s">
        <v>35</v>
      </c>
      <c r="J52" t="s">
        <v>461</v>
      </c>
      <c r="K52" s="3" t="s">
        <v>462</v>
      </c>
      <c r="L52">
        <v>5.3</v>
      </c>
      <c r="M52">
        <v>4.76</v>
      </c>
      <c r="N52">
        <v>3.7</v>
      </c>
      <c r="O52">
        <f t="shared" si="0"/>
        <v>5.3</v>
      </c>
      <c r="P52">
        <f t="shared" si="1"/>
        <v>4.76</v>
      </c>
      <c r="Q52">
        <f t="shared" si="2"/>
        <v>3.7</v>
      </c>
    </row>
    <row r="53" spans="1:17" x14ac:dyDescent="0.35">
      <c r="A53">
        <v>52</v>
      </c>
      <c r="B53">
        <v>1</v>
      </c>
      <c r="C53" t="s">
        <v>304</v>
      </c>
      <c r="D53" t="s">
        <v>305</v>
      </c>
      <c r="E53" t="s">
        <v>306</v>
      </c>
      <c r="F53" t="s">
        <v>307</v>
      </c>
      <c r="G53" s="2" t="s">
        <v>463</v>
      </c>
      <c r="H53" t="s">
        <v>457</v>
      </c>
      <c r="I53" t="s">
        <v>35</v>
      </c>
      <c r="J53" t="s">
        <v>464</v>
      </c>
      <c r="K53" s="3" t="s">
        <v>465</v>
      </c>
      <c r="L53">
        <v>0.42</v>
      </c>
      <c r="M53">
        <v>0.36399999999999999</v>
      </c>
      <c r="N53">
        <v>0.25219999999999998</v>
      </c>
      <c r="O53">
        <f t="shared" si="0"/>
        <v>0.42</v>
      </c>
      <c r="P53">
        <f t="shared" si="1"/>
        <v>0.36399999999999999</v>
      </c>
      <c r="Q53">
        <f t="shared" si="2"/>
        <v>0.25219999999999998</v>
      </c>
    </row>
    <row r="54" spans="1:17" x14ac:dyDescent="0.35">
      <c r="A54">
        <v>53</v>
      </c>
      <c r="B54">
        <v>1</v>
      </c>
      <c r="C54" t="s">
        <v>309</v>
      </c>
      <c r="D54" t="s">
        <v>310</v>
      </c>
      <c r="E54" t="s">
        <v>311</v>
      </c>
      <c r="F54" t="s">
        <v>152</v>
      </c>
      <c r="G54" s="2" t="s">
        <v>466</v>
      </c>
      <c r="H54" t="s">
        <v>457</v>
      </c>
      <c r="I54" t="s">
        <v>35</v>
      </c>
      <c r="J54" t="s">
        <v>467</v>
      </c>
      <c r="K54" s="3" t="s">
        <v>468</v>
      </c>
      <c r="L54">
        <v>0.36</v>
      </c>
      <c r="M54">
        <v>0.29099999999999998</v>
      </c>
      <c r="N54">
        <v>0.17979999999999999</v>
      </c>
      <c r="O54">
        <f t="shared" si="0"/>
        <v>0.36</v>
      </c>
      <c r="P54">
        <f t="shared" si="1"/>
        <v>0.29099999999999998</v>
      </c>
      <c r="Q54">
        <f t="shared" si="2"/>
        <v>0.17979999999999999</v>
      </c>
    </row>
    <row r="55" spans="1:17" x14ac:dyDescent="0.35">
      <c r="A55">
        <v>54</v>
      </c>
      <c r="B55">
        <v>1</v>
      </c>
      <c r="C55" t="s">
        <v>313</v>
      </c>
      <c r="D55" t="s">
        <v>314</v>
      </c>
      <c r="E55" t="s">
        <v>315</v>
      </c>
      <c r="F55" t="s">
        <v>315</v>
      </c>
      <c r="G55" s="2" t="s">
        <v>469</v>
      </c>
      <c r="H55" t="s">
        <v>470</v>
      </c>
      <c r="I55" t="s">
        <v>35</v>
      </c>
      <c r="J55" t="s">
        <v>471</v>
      </c>
      <c r="K55" s="3" t="s">
        <v>472</v>
      </c>
      <c r="L55">
        <v>3.8</v>
      </c>
      <c r="M55">
        <v>3.8</v>
      </c>
      <c r="N55">
        <v>3.8</v>
      </c>
      <c r="O55">
        <f t="shared" si="0"/>
        <v>3.8</v>
      </c>
      <c r="P55">
        <f t="shared" si="1"/>
        <v>3.8</v>
      </c>
      <c r="Q55">
        <f t="shared" si="2"/>
        <v>3.8</v>
      </c>
    </row>
    <row r="56" spans="1:17" x14ac:dyDescent="0.35">
      <c r="A56">
        <v>55</v>
      </c>
      <c r="B56">
        <v>1</v>
      </c>
      <c r="C56" t="s">
        <v>317</v>
      </c>
      <c r="D56" t="s">
        <v>318</v>
      </c>
      <c r="E56" t="s">
        <v>319</v>
      </c>
      <c r="F56" t="s">
        <v>320</v>
      </c>
      <c r="G56" s="2" t="s">
        <v>321</v>
      </c>
      <c r="H56" t="s">
        <v>473</v>
      </c>
      <c r="I56" t="s">
        <v>35</v>
      </c>
      <c r="J56" t="s">
        <v>474</v>
      </c>
      <c r="K56" s="3" t="s">
        <v>318</v>
      </c>
      <c r="L56">
        <v>0.93</v>
      </c>
      <c r="M56">
        <v>0.93</v>
      </c>
      <c r="N56">
        <v>0.93</v>
      </c>
      <c r="O56">
        <f t="shared" si="0"/>
        <v>0.93</v>
      </c>
      <c r="P56">
        <f t="shared" si="1"/>
        <v>0.93</v>
      </c>
      <c r="Q56">
        <f t="shared" si="2"/>
        <v>0.93</v>
      </c>
    </row>
    <row r="57" spans="1:17" x14ac:dyDescent="0.35">
      <c r="A57">
        <v>56</v>
      </c>
      <c r="B57">
        <v>1</v>
      </c>
      <c r="C57" t="s">
        <v>322</v>
      </c>
      <c r="D57" t="s">
        <v>323</v>
      </c>
      <c r="E57" t="s">
        <v>324</v>
      </c>
      <c r="F57" t="s">
        <v>325</v>
      </c>
      <c r="G57" s="2" t="s">
        <v>326</v>
      </c>
      <c r="H57" t="s">
        <v>338</v>
      </c>
      <c r="I57" t="s">
        <v>35</v>
      </c>
      <c r="J57" t="s">
        <v>475</v>
      </c>
      <c r="K57" s="3" t="s">
        <v>476</v>
      </c>
      <c r="L57">
        <v>1.26</v>
      </c>
      <c r="M57">
        <v>1.26</v>
      </c>
      <c r="N57">
        <v>0.95</v>
      </c>
      <c r="O57">
        <f t="shared" si="0"/>
        <v>1.26</v>
      </c>
      <c r="P57">
        <f t="shared" si="1"/>
        <v>1.26</v>
      </c>
      <c r="Q57">
        <f t="shared" si="2"/>
        <v>0.95</v>
      </c>
    </row>
    <row r="58" spans="1:17" x14ac:dyDescent="0.35">
      <c r="A58">
        <v>57</v>
      </c>
      <c r="B58">
        <v>1</v>
      </c>
      <c r="C58" t="s">
        <v>327</v>
      </c>
      <c r="D58" t="s">
        <v>328</v>
      </c>
      <c r="E58" t="s">
        <v>329</v>
      </c>
      <c r="F58" t="s">
        <v>330</v>
      </c>
      <c r="G58" s="2" t="s">
        <v>331</v>
      </c>
      <c r="H58" t="s">
        <v>338</v>
      </c>
      <c r="I58" t="s">
        <v>35</v>
      </c>
      <c r="J58" t="s">
        <v>477</v>
      </c>
      <c r="K58" s="3" t="s">
        <v>478</v>
      </c>
      <c r="L58">
        <v>1.02</v>
      </c>
      <c r="M58">
        <v>1.02</v>
      </c>
      <c r="N58">
        <v>0.78</v>
      </c>
      <c r="O58">
        <f t="shared" si="0"/>
        <v>1.02</v>
      </c>
      <c r="P58">
        <f t="shared" si="1"/>
        <v>1.02</v>
      </c>
      <c r="Q58">
        <f t="shared" si="2"/>
        <v>0.78</v>
      </c>
    </row>
    <row r="59" spans="1:17" x14ac:dyDescent="0.35">
      <c r="A59">
        <v>58</v>
      </c>
      <c r="B59">
        <v>1</v>
      </c>
      <c r="C59" t="s">
        <v>340</v>
      </c>
      <c r="D59" t="s">
        <v>341</v>
      </c>
      <c r="E59" t="s">
        <v>342</v>
      </c>
      <c r="F59" t="s">
        <v>343</v>
      </c>
      <c r="G59" t="s">
        <v>344</v>
      </c>
      <c r="H59" t="s">
        <v>479</v>
      </c>
      <c r="I59" t="s">
        <v>35</v>
      </c>
      <c r="J59" t="s">
        <v>480</v>
      </c>
      <c r="K59" s="3" t="s">
        <v>341</v>
      </c>
      <c r="L59">
        <v>1.77</v>
      </c>
      <c r="M59">
        <v>1.4370000000000001</v>
      </c>
      <c r="N59">
        <v>0.88400000000000001</v>
      </c>
      <c r="O59">
        <f t="shared" si="0"/>
        <v>1.77</v>
      </c>
      <c r="P59">
        <f t="shared" si="1"/>
        <v>1.4370000000000001</v>
      </c>
      <c r="Q59">
        <f t="shared" si="2"/>
        <v>0.88400000000000001</v>
      </c>
    </row>
    <row r="60" spans="1:17" x14ac:dyDescent="0.35">
      <c r="A60">
        <v>59</v>
      </c>
      <c r="B60">
        <v>2</v>
      </c>
      <c r="C60" t="s">
        <v>378</v>
      </c>
      <c r="D60" t="s">
        <v>346</v>
      </c>
      <c r="E60" t="s">
        <v>347</v>
      </c>
      <c r="F60" t="s">
        <v>348</v>
      </c>
      <c r="G60" t="s">
        <v>349</v>
      </c>
      <c r="H60" t="s">
        <v>457</v>
      </c>
      <c r="I60" t="s">
        <v>35</v>
      </c>
      <c r="J60" t="s">
        <v>481</v>
      </c>
      <c r="K60" s="3" t="s">
        <v>482</v>
      </c>
      <c r="L60">
        <v>0.79</v>
      </c>
      <c r="M60">
        <v>0.69299999999999995</v>
      </c>
      <c r="N60">
        <v>0.53129999999999999</v>
      </c>
      <c r="O60">
        <f t="shared" si="0"/>
        <v>1.58</v>
      </c>
      <c r="P60">
        <f t="shared" si="1"/>
        <v>1.3859999999999999</v>
      </c>
      <c r="Q60">
        <f t="shared" si="2"/>
        <v>1.0626</v>
      </c>
    </row>
    <row r="61" spans="1:17" x14ac:dyDescent="0.35">
      <c r="O61" s="4">
        <f>SUM(O2:O60)</f>
        <v>49.22</v>
      </c>
      <c r="P61" s="4">
        <f>SUM(P2:P60)</f>
        <v>44.306999999999995</v>
      </c>
      <c r="Q61">
        <f>SUM(Q2:Q60)</f>
        <v>34.184399999999997</v>
      </c>
    </row>
    <row r="65" spans="1:11" s="8" customFormat="1" x14ac:dyDescent="0.35">
      <c r="A65" s="6" t="s">
        <v>483</v>
      </c>
      <c r="B65" s="6" t="s">
        <v>484</v>
      </c>
      <c r="C65" s="6" t="s">
        <v>487</v>
      </c>
      <c r="D65" s="6" t="s">
        <v>485</v>
      </c>
      <c r="E65" s="6" t="s">
        <v>486</v>
      </c>
      <c r="F65" s="6" t="s">
        <v>488</v>
      </c>
      <c r="G65" s="6" t="s">
        <v>494</v>
      </c>
      <c r="H65" s="6" t="s">
        <v>493</v>
      </c>
      <c r="I65" s="6" t="s">
        <v>495</v>
      </c>
      <c r="J65" s="6" t="s">
        <v>496</v>
      </c>
      <c r="K65" s="7" t="s">
        <v>497</v>
      </c>
    </row>
    <row r="66" spans="1:11" x14ac:dyDescent="0.35">
      <c r="A66">
        <v>5</v>
      </c>
      <c r="B66">
        <v>7</v>
      </c>
      <c r="C66">
        <f>B66/A66</f>
        <v>1.4</v>
      </c>
      <c r="D66">
        <v>17.04</v>
      </c>
      <c r="E66">
        <f>D66/A66</f>
        <v>3.4079999999999999</v>
      </c>
      <c r="F66">
        <f>C66+E66</f>
        <v>4.8079999999999998</v>
      </c>
      <c r="G66">
        <f>F66*A66</f>
        <v>24.04</v>
      </c>
      <c r="H66">
        <f>SUM(O2:O60)</f>
        <v>49.22</v>
      </c>
      <c r="I66">
        <f>H66*A66</f>
        <v>246.1</v>
      </c>
      <c r="J66">
        <f>H66+F66</f>
        <v>54.027999999999999</v>
      </c>
      <c r="K66" s="5">
        <f>(I66+G66)</f>
        <v>270.14</v>
      </c>
    </row>
    <row r="67" spans="1:11" x14ac:dyDescent="0.35">
      <c r="A67">
        <v>10</v>
      </c>
      <c r="B67">
        <v>13</v>
      </c>
      <c r="C67">
        <f t="shared" ref="C67:C70" si="3">B67/A67</f>
        <v>1.3</v>
      </c>
      <c r="D67">
        <v>17.04</v>
      </c>
      <c r="E67">
        <f t="shared" ref="E67:E70" si="4">D67/A67</f>
        <v>1.704</v>
      </c>
      <c r="F67">
        <f t="shared" ref="F67:F70" si="5">C67+E67</f>
        <v>3.004</v>
      </c>
      <c r="G67">
        <f t="shared" ref="G67:G70" si="6">F67*A67</f>
        <v>30.04</v>
      </c>
    </row>
    <row r="68" spans="1:11" x14ac:dyDescent="0.35">
      <c r="A68">
        <v>25</v>
      </c>
      <c r="B68">
        <v>46</v>
      </c>
      <c r="C68">
        <f t="shared" si="3"/>
        <v>1.84</v>
      </c>
      <c r="D68">
        <v>20.91</v>
      </c>
      <c r="E68">
        <f t="shared" si="4"/>
        <v>0.83640000000000003</v>
      </c>
      <c r="F68">
        <f t="shared" si="5"/>
        <v>2.6764000000000001</v>
      </c>
      <c r="G68">
        <f t="shared" si="6"/>
        <v>66.91</v>
      </c>
    </row>
    <row r="69" spans="1:11" x14ac:dyDescent="0.35">
      <c r="A69">
        <v>50</v>
      </c>
      <c r="B69">
        <v>60</v>
      </c>
      <c r="C69">
        <f t="shared" si="3"/>
        <v>1.2</v>
      </c>
      <c r="D69">
        <v>25.87</v>
      </c>
      <c r="E69">
        <f t="shared" si="4"/>
        <v>0.51739999999999997</v>
      </c>
      <c r="F69">
        <f t="shared" si="5"/>
        <v>1.7174</v>
      </c>
      <c r="G69">
        <f t="shared" si="6"/>
        <v>85.87</v>
      </c>
    </row>
    <row r="70" spans="1:11" x14ac:dyDescent="0.35">
      <c r="A70">
        <v>100</v>
      </c>
      <c r="B70">
        <v>93.9</v>
      </c>
      <c r="C70">
        <f t="shared" si="3"/>
        <v>0.93900000000000006</v>
      </c>
      <c r="D70">
        <v>38.47</v>
      </c>
      <c r="E70">
        <f t="shared" si="4"/>
        <v>0.38469999999999999</v>
      </c>
      <c r="F70">
        <f t="shared" si="5"/>
        <v>1.3237000000000001</v>
      </c>
      <c r="G70">
        <f t="shared" si="6"/>
        <v>132.37</v>
      </c>
    </row>
  </sheetData>
  <hyperlinks>
    <hyperlink ref="G2" r:id="rId1"/>
    <hyperlink ref="G3:G5" r:id="rId2" display="https://dznh3ojzb2azq.cloudfront.net/products/Tactile/PTS636/documents/datasheet.pdf"/>
    <hyperlink ref="G6" r:id="rId3"/>
    <hyperlink ref="G7" r:id="rId4"/>
    <hyperlink ref="G8" r:id="rId5"/>
    <hyperlink ref="G9" r:id="rId6"/>
    <hyperlink ref="G10" r:id="rId7"/>
    <hyperlink ref="G11" r:id="rId8"/>
    <hyperlink ref="G12" r:id="rId9"/>
    <hyperlink ref="G13" r:id="rId10"/>
    <hyperlink ref="G14" r:id="rId11"/>
    <hyperlink ref="G16" r:id="rId12"/>
    <hyperlink ref="G19" r:id="rId13"/>
    <hyperlink ref="G18" r:id="rId14"/>
    <hyperlink ref="G22" r:id="rId15"/>
    <hyperlink ref="G23" r:id="rId16"/>
    <hyperlink ref="G29" r:id="rId17"/>
    <hyperlink ref="G50" r:id="rId18"/>
    <hyperlink ref="G51" r:id="rId19"/>
    <hyperlink ref="G52" r:id="rId20"/>
    <hyperlink ref="G53" r:id="rId21"/>
    <hyperlink ref="G54" r:id="rId22"/>
    <hyperlink ref="G55" r:id="rId23"/>
    <hyperlink ref="G56" r:id="rId24"/>
    <hyperlink ref="G57" r:id="rId25"/>
    <hyperlink ref="G58" r:id="rId26"/>
  </hyperlinks>
  <pageMargins left="0.7" right="0.7" top="0.75" bottom="0.75" header="0.3" footer="0.3"/>
  <pageSetup paperSize="9" orientation="portrait" horizontalDpi="4294967293" verticalDpi="0"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uBMS-2 BOM</vt:lpstr>
      <vt:lpstr>Collated with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Clement Hathaway</cp:lastModifiedBy>
  <dcterms:created xsi:type="dcterms:W3CDTF">2020-08-12T03:01:19Z</dcterms:created>
  <dcterms:modified xsi:type="dcterms:W3CDTF">2020-08-12T04:38:10Z</dcterms:modified>
</cp:coreProperties>
</file>